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anbjg/Documents/R/Cu_evolution/"/>
    </mc:Choice>
  </mc:AlternateContent>
  <xr:revisionPtr revIDLastSave="0" documentId="13_ncr:1_{333D9031-6CD9-C34D-A7ED-9F1EE9CF1CF7}" xr6:coauthVersionLast="47" xr6:coauthVersionMax="47" xr10:uidLastSave="{00000000-0000-0000-0000-000000000000}"/>
  <bookViews>
    <workbookView xWindow="4800" yWindow="500" windowWidth="28800" windowHeight="16380" xr2:uid="{23B42E48-6B5F-6C45-8C18-0CD5B30CB4AC}"/>
  </bookViews>
  <sheets>
    <sheet name="PIPT_1value" sheetId="10" r:id="rId1"/>
    <sheet name="PIPT_whole" sheetId="14" r:id="rId2"/>
    <sheet name="EC50PIPT" sheetId="13" r:id="rId3"/>
    <sheet name="PAM short" sheetId="7" r:id="rId4"/>
    <sheet name="GenerationsInCulture" sheetId="1" r:id="rId5"/>
    <sheet name="Growth curves" sheetId="9" r:id="rId6"/>
    <sheet name="Growth PIPT" sheetId="4" r:id="rId7"/>
    <sheet name="PAM" sheetId="11" r:id="rId8"/>
    <sheet name="3 day cycel observations" sheetId="6" r:id="rId9"/>
    <sheet name="Strain Isolation" sheetId="5" r:id="rId10"/>
    <sheet name="DetailedRFU" sheetId="15" r:id="rId11"/>
    <sheet name="StartDensity" sheetId="2" r:id="rId12"/>
    <sheet name="Changes IN morphology" sheetId="3" r:id="rId13"/>
    <sheet name="Cu_treatment" sheetId="8" r:id="rId14"/>
    <sheet name="DRC_PIPT" sheetId="12" r:id="rId15"/>
  </sheets>
  <externalReferences>
    <externalReference r:id="rId16"/>
    <externalReference r:id="rId17"/>
    <externalReference r:id="rId18"/>
    <externalReference r:id="rId1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10" l="1"/>
  <c r="N4" i="10"/>
  <c r="N5" i="10"/>
  <c r="N6" i="10"/>
  <c r="N7" i="10"/>
  <c r="N8" i="10"/>
  <c r="N10" i="10"/>
  <c r="N11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" i="10"/>
  <c r="M3" i="10"/>
  <c r="M4" i="10"/>
  <c r="M5" i="10"/>
  <c r="M6" i="10"/>
  <c r="M7" i="10"/>
  <c r="M8" i="10"/>
  <c r="M9" i="10"/>
  <c r="M10" i="10"/>
  <c r="M11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" i="10"/>
  <c r="Q3" i="8" l="1"/>
  <c r="C17" i="8"/>
  <c r="C18" i="8"/>
  <c r="C19" i="8"/>
  <c r="C20" i="8"/>
  <c r="C21" i="8"/>
  <c r="C22" i="8"/>
  <c r="C23" i="8"/>
  <c r="C24" i="8"/>
  <c r="C25" i="8"/>
  <c r="C26" i="8"/>
  <c r="C27" i="8"/>
  <c r="C16" i="8"/>
  <c r="B4" i="8"/>
  <c r="G75" i="1" l="1"/>
  <c r="G74" i="1"/>
  <c r="G73" i="1"/>
  <c r="H10" i="8" l="1"/>
  <c r="I10" i="8"/>
  <c r="J10" i="8"/>
  <c r="K10" i="8"/>
  <c r="L10" i="8"/>
  <c r="M10" i="8"/>
  <c r="N10" i="8"/>
  <c r="O10" i="8"/>
  <c r="G10" i="8"/>
  <c r="F10" i="8"/>
  <c r="E10" i="8"/>
  <c r="D10" i="8"/>
  <c r="C10" i="8"/>
  <c r="B10" i="8"/>
  <c r="C4" i="8"/>
  <c r="D4" i="8"/>
  <c r="E4" i="8"/>
  <c r="F4" i="8"/>
  <c r="G4" i="8"/>
  <c r="H4" i="8"/>
  <c r="I4" i="8"/>
  <c r="J4" i="8"/>
  <c r="K4" i="8"/>
  <c r="L4" i="8"/>
  <c r="M4" i="8"/>
  <c r="N4" i="8"/>
  <c r="O4" i="8"/>
  <c r="H24" i="13" l="1"/>
  <c r="I24" i="13"/>
  <c r="H11" i="13"/>
  <c r="I11" i="13"/>
  <c r="H12" i="13"/>
  <c r="I12" i="13"/>
  <c r="H13" i="13"/>
  <c r="I13" i="13"/>
  <c r="H14" i="13"/>
  <c r="I14" i="13"/>
  <c r="H15" i="13"/>
  <c r="I15" i="13"/>
  <c r="H17" i="13"/>
  <c r="I17" i="13"/>
  <c r="H18" i="13"/>
  <c r="I18" i="13"/>
  <c r="H19" i="13"/>
  <c r="I19" i="13"/>
  <c r="H20" i="13"/>
  <c r="I20" i="13"/>
  <c r="H21" i="13"/>
  <c r="I21" i="13"/>
  <c r="H22" i="13"/>
  <c r="I22" i="13"/>
  <c r="H23" i="13"/>
  <c r="I23" i="13"/>
  <c r="H25" i="13"/>
  <c r="I25" i="13"/>
  <c r="H26" i="13"/>
  <c r="I26" i="13"/>
  <c r="H27" i="13"/>
  <c r="I27" i="13"/>
  <c r="H28" i="13"/>
  <c r="I28" i="13"/>
  <c r="H29" i="13"/>
  <c r="I29" i="13"/>
  <c r="H30" i="13"/>
  <c r="I30" i="13"/>
  <c r="H31" i="13"/>
  <c r="I31" i="13"/>
  <c r="H32" i="13"/>
  <c r="I32" i="13"/>
  <c r="H33" i="13"/>
  <c r="H34" i="13"/>
  <c r="I34" i="13"/>
  <c r="H35" i="13"/>
  <c r="I35" i="13"/>
  <c r="H37" i="13"/>
  <c r="I37" i="13"/>
  <c r="H38" i="13"/>
  <c r="I38" i="13"/>
  <c r="H39" i="13"/>
  <c r="I39" i="13"/>
  <c r="H40" i="13"/>
  <c r="I40" i="13"/>
  <c r="H41" i="13"/>
  <c r="I41" i="13"/>
  <c r="H42" i="13"/>
  <c r="I42" i="13"/>
  <c r="H43" i="13"/>
  <c r="I43" i="13"/>
  <c r="H44" i="13"/>
  <c r="I44" i="13"/>
  <c r="H45" i="13"/>
  <c r="I45" i="13"/>
  <c r="H46" i="13"/>
  <c r="I46" i="13"/>
  <c r="H47" i="13"/>
  <c r="I47" i="13"/>
  <c r="H48" i="13"/>
  <c r="I48" i="13"/>
  <c r="H49" i="13"/>
  <c r="I49" i="13"/>
  <c r="H50" i="13"/>
  <c r="I50" i="13"/>
  <c r="H51" i="13"/>
  <c r="I51" i="13"/>
  <c r="H52" i="13"/>
  <c r="I52" i="13"/>
  <c r="H53" i="13"/>
  <c r="I53" i="13"/>
  <c r="H54" i="13"/>
  <c r="I54" i="13"/>
  <c r="H55" i="13"/>
  <c r="I55" i="13"/>
  <c r="H56" i="13"/>
  <c r="I56" i="13"/>
  <c r="H57" i="13"/>
  <c r="I57" i="13"/>
  <c r="H58" i="13"/>
  <c r="I58" i="13"/>
  <c r="H59" i="13"/>
  <c r="I59" i="13"/>
  <c r="H60" i="13"/>
  <c r="I60" i="13"/>
  <c r="H61" i="13"/>
  <c r="I61" i="13"/>
  <c r="H10" i="13"/>
  <c r="I10" i="13"/>
  <c r="P3" i="4" l="1"/>
  <c r="P4" i="4"/>
  <c r="P5" i="4"/>
  <c r="P6" i="4"/>
  <c r="P7" i="4"/>
  <c r="P8" i="4"/>
  <c r="P9" i="4"/>
  <c r="P10" i="4"/>
  <c r="P11" i="4"/>
  <c r="P12" i="4"/>
  <c r="P13" i="4"/>
  <c r="P2" i="4"/>
  <c r="AL3" i="4"/>
  <c r="AL4" i="4"/>
  <c r="AL5" i="4"/>
  <c r="AL6" i="4"/>
  <c r="AL7" i="4"/>
  <c r="AL8" i="4"/>
  <c r="AL9" i="4"/>
  <c r="AL10" i="4"/>
  <c r="AL11" i="4"/>
  <c r="AL12" i="4"/>
  <c r="AL13" i="4"/>
  <c r="AL2" i="4"/>
  <c r="O19" i="1"/>
  <c r="O14" i="1"/>
  <c r="O7" i="1"/>
  <c r="N19" i="1"/>
  <c r="M19" i="1"/>
  <c r="N14" i="1"/>
  <c r="M14" i="1"/>
  <c r="N7" i="1"/>
  <c r="M7" i="1"/>
  <c r="N2" i="1"/>
  <c r="M2" i="1"/>
  <c r="L8" i="6"/>
  <c r="K8" i="6"/>
  <c r="J8" i="6"/>
  <c r="L7" i="6"/>
  <c r="K7" i="6"/>
  <c r="J7" i="6"/>
  <c r="L6" i="6"/>
  <c r="K6" i="6"/>
  <c r="J6" i="6"/>
  <c r="L4" i="6"/>
  <c r="K4" i="6"/>
  <c r="J4" i="6"/>
  <c r="L3" i="6"/>
  <c r="K3" i="6"/>
  <c r="J3" i="6"/>
  <c r="L2" i="6"/>
  <c r="K2" i="6"/>
  <c r="J2" i="6"/>
</calcChain>
</file>

<file path=xl/sharedStrings.xml><?xml version="1.0" encoding="utf-8"?>
<sst xmlns="http://schemas.openxmlformats.org/spreadsheetml/2006/main" count="12455" uniqueCount="361">
  <si>
    <t xml:space="preserve">Generations </t>
  </si>
  <si>
    <t>t-17 to -7</t>
  </si>
  <si>
    <t>Precult 1</t>
  </si>
  <si>
    <t>Precult 2</t>
  </si>
  <si>
    <t>Sum</t>
  </si>
  <si>
    <t>Generations passed</t>
  </si>
  <si>
    <t>RO5</t>
  </si>
  <si>
    <t>VG1-2 #44</t>
  </si>
  <si>
    <t>VG1-2 #45</t>
  </si>
  <si>
    <t>VG1-2 #49</t>
  </si>
  <si>
    <t>VG1-2 #56</t>
  </si>
  <si>
    <t>VG1-2 #58</t>
  </si>
  <si>
    <t>VG1-2 #61</t>
  </si>
  <si>
    <t>VG1-2 #63</t>
  </si>
  <si>
    <t>VG1-2 #64</t>
  </si>
  <si>
    <t>VG1-2 #65</t>
  </si>
  <si>
    <t>VG1-2 #66</t>
  </si>
  <si>
    <t>VG1-2 #67</t>
  </si>
  <si>
    <t>VG1-2 #72</t>
  </si>
  <si>
    <t>VG1-2 #74</t>
  </si>
  <si>
    <t>VG1-2 #78</t>
  </si>
  <si>
    <t>VG1-2 #81</t>
  </si>
  <si>
    <t>VG1-2 #83</t>
  </si>
  <si>
    <t>VG1-2 #85</t>
  </si>
  <si>
    <t>VG1-2 #86</t>
  </si>
  <si>
    <t>VG1-2 #88</t>
  </si>
  <si>
    <t>VG1-2 #89</t>
  </si>
  <si>
    <t>VG1-2 #90</t>
  </si>
  <si>
    <t>VG1-2 #93</t>
  </si>
  <si>
    <t>VG1-2 #94</t>
  </si>
  <si>
    <t>VG1-2 #95</t>
  </si>
  <si>
    <t>VG1-2 #99</t>
  </si>
  <si>
    <t>VG1-2 #103</t>
  </si>
  <si>
    <t>VG1-2 #104</t>
  </si>
  <si>
    <t>VG1-2 #105</t>
  </si>
  <si>
    <t>VG1-2 #106</t>
  </si>
  <si>
    <t>VG1-2 #107</t>
  </si>
  <si>
    <t>Mean</t>
  </si>
  <si>
    <t>SD</t>
  </si>
  <si>
    <t>Strain</t>
  </si>
  <si>
    <t>Start density Cells mL-1</t>
  </si>
  <si>
    <t>Biovolume</t>
  </si>
  <si>
    <t>C</t>
  </si>
  <si>
    <t>Cu</t>
  </si>
  <si>
    <t>RO5 C</t>
  </si>
  <si>
    <t>RO5 Cu</t>
  </si>
  <si>
    <t>Sd</t>
  </si>
  <si>
    <t>Diameter_length_ratio</t>
  </si>
  <si>
    <t>UO5 C</t>
  </si>
  <si>
    <t>UO5 Cu</t>
  </si>
  <si>
    <t>Diamater</t>
  </si>
  <si>
    <t>Surface:vol ratio</t>
  </si>
  <si>
    <t>VG</t>
  </si>
  <si>
    <t>Control:1</t>
  </si>
  <si>
    <t>Control:2</t>
  </si>
  <si>
    <t>Control:3</t>
  </si>
  <si>
    <t>Control:4</t>
  </si>
  <si>
    <t>Control:5</t>
  </si>
  <si>
    <t>Cu:1</t>
  </si>
  <si>
    <t>Cu:2</t>
  </si>
  <si>
    <t>Cu:3</t>
  </si>
  <si>
    <t>Cu:4</t>
  </si>
  <si>
    <t>Cu:5</t>
  </si>
  <si>
    <t>Control:RO5</t>
  </si>
  <si>
    <t>Cu:RO5</t>
  </si>
  <si>
    <t>Control</t>
  </si>
  <si>
    <t>RO5-Cu</t>
  </si>
  <si>
    <t>VG growth rates</t>
  </si>
  <si>
    <t>Isolated</t>
  </si>
  <si>
    <t>Survived isolation</t>
  </si>
  <si>
    <t>Dens enough for pre-culture</t>
  </si>
  <si>
    <t>No sexual spores</t>
  </si>
  <si>
    <t>Second dilutrion step</t>
  </si>
  <si>
    <t>Density OK after Centrifugation</t>
  </si>
  <si>
    <t>Included in PICT</t>
  </si>
  <si>
    <t>GP</t>
  </si>
  <si>
    <t>Growth rate (day-1)</t>
  </si>
  <si>
    <t>Day1</t>
  </si>
  <si>
    <t>Day2</t>
  </si>
  <si>
    <t>Day3</t>
  </si>
  <si>
    <t>Day4</t>
  </si>
  <si>
    <t>t1-3</t>
  </si>
  <si>
    <t>t15-18</t>
  </si>
  <si>
    <t>t30-33</t>
  </si>
  <si>
    <t>Fv/Fm</t>
  </si>
  <si>
    <t>pH</t>
  </si>
  <si>
    <t>Control Fv/Fm</t>
  </si>
  <si>
    <t>Control pH</t>
  </si>
  <si>
    <t>GP2-4 #26</t>
  </si>
  <si>
    <t>GP2-4 #27</t>
  </si>
  <si>
    <t>GP2-4 #28</t>
  </si>
  <si>
    <t>GP2-4 #29</t>
  </si>
  <si>
    <t>GP2-4 #31</t>
  </si>
  <si>
    <t>GP2-4 #32</t>
  </si>
  <si>
    <t>GP2-4 #71</t>
  </si>
  <si>
    <t>GP2-4 #39</t>
  </si>
  <si>
    <t>GP2-4 #40</t>
  </si>
  <si>
    <t>GP2-4 #72</t>
  </si>
  <si>
    <t>GP2-4 #42</t>
  </si>
  <si>
    <t>GP2-4 #43</t>
  </si>
  <si>
    <t>GP2-4 #44</t>
  </si>
  <si>
    <t>GP2-4 #45</t>
  </si>
  <si>
    <t>GP2-4 #46</t>
  </si>
  <si>
    <t>GP2-4 #47</t>
  </si>
  <si>
    <t>GP2-4 #51</t>
  </si>
  <si>
    <t>GP2-4 #52</t>
  </si>
  <si>
    <t>GP2-4 #54</t>
  </si>
  <si>
    <t>GP2-4 #55</t>
  </si>
  <si>
    <t>GP2-4 #56</t>
  </si>
  <si>
    <t>GP2-4 #57</t>
  </si>
  <si>
    <t>GP2-4 #61</t>
  </si>
  <si>
    <t>GP2-4 #63</t>
  </si>
  <si>
    <t>GP2-4 #67</t>
  </si>
  <si>
    <t>GP2-4 #68</t>
  </si>
  <si>
    <t>GP2-4 #69</t>
  </si>
  <si>
    <t>GP2-4 #70</t>
  </si>
  <si>
    <t>Actual</t>
  </si>
  <si>
    <t>Number of strains left</t>
  </si>
  <si>
    <t>GP2to4_26</t>
  </si>
  <si>
    <t>GP2to4_27</t>
  </si>
  <si>
    <t>GP2to4_28</t>
  </si>
  <si>
    <t>GP2to4_29</t>
  </si>
  <si>
    <t>GP2to4_31</t>
  </si>
  <si>
    <t>GP2to4_32</t>
  </si>
  <si>
    <t>GP2to4_71</t>
  </si>
  <si>
    <t>GP2to4_39</t>
  </si>
  <si>
    <t>GP2to4_40</t>
  </si>
  <si>
    <t>GP2to4_72</t>
  </si>
  <si>
    <t>GP2to4_42</t>
  </si>
  <si>
    <t>GP2to4_43</t>
  </si>
  <si>
    <t>GP2to4_44</t>
  </si>
  <si>
    <t>GP2to4_45</t>
  </si>
  <si>
    <t>GP2to4_46</t>
  </si>
  <si>
    <t>GP2to4_47</t>
  </si>
  <si>
    <t>GP2to4_49</t>
  </si>
  <si>
    <t>GP2to4_51</t>
  </si>
  <si>
    <t>GP2to4_52</t>
  </si>
  <si>
    <t>GP2to4_54</t>
  </si>
  <si>
    <t>GP2to4_55</t>
  </si>
  <si>
    <t>GP2to4_56</t>
  </si>
  <si>
    <t>GP2to4_57</t>
  </si>
  <si>
    <t>GP2to4_58</t>
  </si>
  <si>
    <t>GP2to4_61</t>
  </si>
  <si>
    <t>GP2to4_63</t>
  </si>
  <si>
    <t>GP2to4_67</t>
  </si>
  <si>
    <t>GP2to4_68</t>
  </si>
  <si>
    <t>GP2to4_69</t>
  </si>
  <si>
    <t>GP2to4_70</t>
  </si>
  <si>
    <t>Relative start density PIPT (%)</t>
  </si>
  <si>
    <t>Diamter:Length ratio</t>
  </si>
  <si>
    <t>Avarage Densities</t>
  </si>
  <si>
    <t>RFU</t>
  </si>
  <si>
    <t>Preculture</t>
  </si>
  <si>
    <t>PIPT</t>
  </si>
  <si>
    <t>Generations PIPT</t>
  </si>
  <si>
    <t>Population</t>
  </si>
  <si>
    <t>Replicate</t>
  </si>
  <si>
    <t>Means</t>
  </si>
  <si>
    <t>Ref</t>
  </si>
  <si>
    <t>NA</t>
  </si>
  <si>
    <t>C1</t>
  </si>
  <si>
    <t>C2</t>
  </si>
  <si>
    <t>C3</t>
  </si>
  <si>
    <t>C4</t>
  </si>
  <si>
    <t>C5</t>
  </si>
  <si>
    <t>Cu1</t>
  </si>
  <si>
    <t>Cu2</t>
  </si>
  <si>
    <t>Cu3</t>
  </si>
  <si>
    <t>Cu4</t>
  </si>
  <si>
    <t>Cu5</t>
  </si>
  <si>
    <t>CRO5</t>
  </si>
  <si>
    <t>CuRO5</t>
  </si>
  <si>
    <t>C_RO5</t>
  </si>
  <si>
    <t>Cu_RO5</t>
  </si>
  <si>
    <t>Red=ND</t>
  </si>
  <si>
    <t>Cu t3</t>
  </si>
  <si>
    <t>Cu t21</t>
  </si>
  <si>
    <t>Cu t39</t>
  </si>
  <si>
    <t>C t3</t>
  </si>
  <si>
    <t>C t21</t>
  </si>
  <si>
    <t>C t39</t>
  </si>
  <si>
    <t>RO5 Cu t3</t>
  </si>
  <si>
    <t xml:space="preserve">Real term is: Quantum yield of photosystem II (under 166 umol photons m-2 s-1, red actinic light) </t>
  </si>
  <si>
    <t>RO5 Cu t21</t>
  </si>
  <si>
    <t>Photosynthetic capacity is good for broader talks and presentations though</t>
  </si>
  <si>
    <t>RO5 Cu t39</t>
  </si>
  <si>
    <t>RO5 C t3</t>
  </si>
  <si>
    <t>RO5 C t21</t>
  </si>
  <si>
    <t>RO5 C t39</t>
  </si>
  <si>
    <t>T(3)</t>
  </si>
  <si>
    <t>T(21)</t>
  </si>
  <si>
    <t>T(39)</t>
  </si>
  <si>
    <t>t3</t>
  </si>
  <si>
    <t>t21</t>
  </si>
  <si>
    <t>T39</t>
  </si>
  <si>
    <t>Time</t>
  </si>
  <si>
    <t>20 min</t>
  </si>
  <si>
    <t>60 min</t>
  </si>
  <si>
    <t>3 h</t>
  </si>
  <si>
    <t>Sample</t>
  </si>
  <si>
    <t>Time (h)</t>
  </si>
  <si>
    <t>Y(II)</t>
  </si>
  <si>
    <t>RO5C</t>
  </si>
  <si>
    <t>t24</t>
  </si>
  <si>
    <t>t39</t>
  </si>
  <si>
    <t>RO5_C</t>
  </si>
  <si>
    <t>RO5_Cu</t>
  </si>
  <si>
    <t>Normalized to percent</t>
  </si>
  <si>
    <t>Loss of Photosynthetic capacity is good for broader talks and presentations</t>
  </si>
  <si>
    <t>RM 1-Way ANOVA to test stats</t>
  </si>
  <si>
    <t>t38</t>
  </si>
  <si>
    <t>GP2-4_42</t>
  </si>
  <si>
    <t>GP2-4_46</t>
  </si>
  <si>
    <t>GP2-4_55</t>
  </si>
  <si>
    <t>VG1-2_63</t>
  </si>
  <si>
    <t>VG1-2_74</t>
  </si>
  <si>
    <t>VG1-2_86</t>
  </si>
  <si>
    <t>Experiment</t>
  </si>
  <si>
    <t>Treatment</t>
  </si>
  <si>
    <t>Timepoint</t>
  </si>
  <si>
    <t>Bottel</t>
  </si>
  <si>
    <t>RO5AC</t>
  </si>
  <si>
    <t>RO5AC_GP_C</t>
  </si>
  <si>
    <t>Copper</t>
  </si>
  <si>
    <t>RO5AC_GP_Cu</t>
  </si>
  <si>
    <t>RO5AC_VG_C</t>
  </si>
  <si>
    <t>RO5AC_VG_Cu</t>
  </si>
  <si>
    <t>GP_C2</t>
  </si>
  <si>
    <t>GP_C3</t>
  </si>
  <si>
    <t>GP_C4</t>
  </si>
  <si>
    <t>GP_Cu1</t>
  </si>
  <si>
    <t>GP_Cu2</t>
  </si>
  <si>
    <t>GP_Cu4</t>
  </si>
  <si>
    <t>GP_C1</t>
  </si>
  <si>
    <t>GP_C5</t>
  </si>
  <si>
    <t>GP_Cu3</t>
  </si>
  <si>
    <t>GP_Cu5</t>
  </si>
  <si>
    <t>VG_C1</t>
  </si>
  <si>
    <t>VG_C2</t>
  </si>
  <si>
    <t>VG_C3</t>
  </si>
  <si>
    <t>VG_C4</t>
  </si>
  <si>
    <t>VG_Cu1</t>
  </si>
  <si>
    <t>VG_Cu3</t>
  </si>
  <si>
    <t>VG_Cu4</t>
  </si>
  <si>
    <t>VG_Cu5</t>
  </si>
  <si>
    <t>VG_C5</t>
  </si>
  <si>
    <t>VG_Cu2</t>
  </si>
  <si>
    <t>Growth_rate9days</t>
  </si>
  <si>
    <t>9 day growth rate</t>
  </si>
  <si>
    <t>Local</t>
  </si>
  <si>
    <t>strain</t>
  </si>
  <si>
    <t>Date</t>
  </si>
  <si>
    <t>Wait time (h)</t>
  </si>
  <si>
    <t>Incubation Position</t>
  </si>
  <si>
    <t>Light intensity</t>
  </si>
  <si>
    <t>Control growth rate (day-1)</t>
  </si>
  <si>
    <t>S.D.</t>
  </si>
  <si>
    <t>RO5 Spation control growth rate (day-1)</t>
  </si>
  <si>
    <t>Start Density (RFU)</t>
  </si>
  <si>
    <t>Concentration</t>
  </si>
  <si>
    <t>Well position</t>
  </si>
  <si>
    <t>Inhibition RAW</t>
  </si>
  <si>
    <t>Inhibition</t>
  </si>
  <si>
    <t>Running ID</t>
  </si>
  <si>
    <t>A01</t>
  </si>
  <si>
    <t>A02</t>
  </si>
  <si>
    <t>A03</t>
  </si>
  <si>
    <t>A05</t>
  </si>
  <si>
    <t>A06</t>
  </si>
  <si>
    <t>B02</t>
  </si>
  <si>
    <t>B03</t>
  </si>
  <si>
    <t>B04</t>
  </si>
  <si>
    <t>B05</t>
  </si>
  <si>
    <t>C01</t>
  </si>
  <si>
    <t>C02</t>
  </si>
  <si>
    <t>C05</t>
  </si>
  <si>
    <t>C06</t>
  </si>
  <si>
    <t>D01</t>
  </si>
  <si>
    <t>D02</t>
  </si>
  <si>
    <t>D03</t>
  </si>
  <si>
    <t>D04</t>
  </si>
  <si>
    <t>D05</t>
  </si>
  <si>
    <t>A04</t>
  </si>
  <si>
    <t>Control 1</t>
  </si>
  <si>
    <t>B01</t>
  </si>
  <si>
    <t>Control 2</t>
  </si>
  <si>
    <t>B06</t>
  </si>
  <si>
    <t>Control 3</t>
  </si>
  <si>
    <t>C03</t>
  </si>
  <si>
    <t>Control 4</t>
  </si>
  <si>
    <t>D06</t>
  </si>
  <si>
    <t>Control 5</t>
  </si>
  <si>
    <t>A2</t>
  </si>
  <si>
    <t>GP_31</t>
  </si>
  <si>
    <t>MM</t>
  </si>
  <si>
    <t>GP_32</t>
  </si>
  <si>
    <t>EC50n</t>
  </si>
  <si>
    <t>EC50a</t>
  </si>
  <si>
    <t>EC50SEn</t>
  </si>
  <si>
    <t>EC50SEa</t>
  </si>
  <si>
    <t>Parameter</t>
  </si>
  <si>
    <t>Rate</t>
  </si>
  <si>
    <t>Second_strain</t>
  </si>
  <si>
    <t>Dominant_strain(%)</t>
  </si>
  <si>
    <t>VG1-2_81(60%)</t>
  </si>
  <si>
    <t>VG1-2_74(20%)</t>
  </si>
  <si>
    <t>Yes</t>
  </si>
  <si>
    <t>VG1-2_81(95%)</t>
  </si>
  <si>
    <t>BarcodeSampleContaminated_t42</t>
  </si>
  <si>
    <t>VG1-2_74(4%)</t>
  </si>
  <si>
    <t>VG1-2_81(75%)</t>
  </si>
  <si>
    <t>VG1-2_74(10%)</t>
  </si>
  <si>
    <t>VG1-2_81(20%)</t>
  </si>
  <si>
    <t>VG1-2_95(17%)</t>
  </si>
  <si>
    <t>VG1-2_81(28%)</t>
  </si>
  <si>
    <t>VG1-2_74(72%)</t>
  </si>
  <si>
    <t>VG1-2_103(48%)</t>
  </si>
  <si>
    <t>VG1-2_81(10%)</t>
  </si>
  <si>
    <t>VG1-2_103(22%)</t>
  </si>
  <si>
    <t>VG1-2_81(17%)</t>
  </si>
  <si>
    <t>VG1-2_103(90%)</t>
  </si>
  <si>
    <t>VG1-2_74(8%)</t>
  </si>
  <si>
    <t>VG1-2_103(89%)</t>
  </si>
  <si>
    <t>VG1-2_74(6%)</t>
  </si>
  <si>
    <t>VG1-2_74(7%)</t>
  </si>
  <si>
    <t>VG1-2_103(91%)</t>
  </si>
  <si>
    <t>GP2-4_27(93%)</t>
  </si>
  <si>
    <t>GP2-4_27(94%)</t>
  </si>
  <si>
    <t>GP2-4_44(6%)</t>
  </si>
  <si>
    <t>GP2-4_27(97%)</t>
  </si>
  <si>
    <t>GP2-4_44(3%)</t>
  </si>
  <si>
    <t>GP2-4_57(78%)</t>
  </si>
  <si>
    <t>GP2-4_27(10%)</t>
  </si>
  <si>
    <t>GP2-4_44(5%)</t>
  </si>
  <si>
    <t>GP2-4_44(4%)</t>
  </si>
  <si>
    <t>GP2-4_40(37%)</t>
  </si>
  <si>
    <t>GP2-4_40(78%)</t>
  </si>
  <si>
    <t>GP2-4_40(90%)</t>
  </si>
  <si>
    <t>Three_around_4%</t>
  </si>
  <si>
    <t>Three_around_6%</t>
  </si>
  <si>
    <t>Five_6-25%</t>
  </si>
  <si>
    <t>GP2-4_40(65%)</t>
  </si>
  <si>
    <t>Three_4-13%</t>
  </si>
  <si>
    <t>GP2-4_40(58%)</t>
  </si>
  <si>
    <t>Six_4-17%</t>
  </si>
  <si>
    <t>GP2-4_40(80%)</t>
  </si>
  <si>
    <t>RO5AC(100%)</t>
  </si>
  <si>
    <t>No</t>
  </si>
  <si>
    <t>Generations_past</t>
  </si>
  <si>
    <t>FvFm</t>
  </si>
  <si>
    <t>RFU:GP</t>
  </si>
  <si>
    <t>Value</t>
  </si>
  <si>
    <t>Nominal Cu</t>
  </si>
  <si>
    <t>Absolute CU</t>
  </si>
  <si>
    <t>median</t>
  </si>
  <si>
    <t>min</t>
  </si>
  <si>
    <t>max</t>
  </si>
  <si>
    <t>dilution step</t>
  </si>
  <si>
    <t>Concentration uM</t>
  </si>
  <si>
    <t>F/2 media amendment uM Cu</t>
  </si>
  <si>
    <t>Respons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</si>
</sst>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Lucida Grande"/>
      <family val="2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4" borderId="0" xfId="0" applyFill="1"/>
    <xf numFmtId="0" fontId="0" fillId="0" borderId="3" xfId="0" applyBorder="1" applyAlignment="1">
      <alignment horizontal="center" wrapText="1"/>
    </xf>
    <xf numFmtId="0" fontId="0" fillId="0" borderId="3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0" fontId="0" fillId="6" borderId="0" xfId="0" applyFill="1"/>
    <xf numFmtId="2" fontId="0" fillId="6" borderId="0" xfId="0" applyNumberFormat="1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0" fillId="0" borderId="10" xfId="0" applyBorder="1"/>
    <xf numFmtId="0" fontId="2" fillId="0" borderId="0" xfId="0" applyFont="1"/>
    <xf numFmtId="0" fontId="3" fillId="0" borderId="0" xfId="0" applyFont="1"/>
    <xf numFmtId="0" fontId="0" fillId="0" borderId="11" xfId="0" applyBorder="1"/>
    <xf numFmtId="0" fontId="0" fillId="0" borderId="12" xfId="0" applyBorder="1"/>
    <xf numFmtId="0" fontId="5" fillId="0" borderId="0" xfId="0" applyFont="1"/>
    <xf numFmtId="0" fontId="6" fillId="0" borderId="0" xfId="0" applyFont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5" fillId="0" borderId="0" xfId="0" applyFont="1" applyBorder="1"/>
    <xf numFmtId="0" fontId="0" fillId="0" borderId="0" xfId="0" applyBorder="1"/>
    <xf numFmtId="0" fontId="1" fillId="2" borderId="0" xfId="0" applyFont="1" applyFill="1" applyBorder="1" applyAlignment="1">
      <alignment horizontal="center"/>
    </xf>
    <xf numFmtId="0" fontId="5" fillId="0" borderId="0" xfId="0" applyFont="1" applyFill="1" applyBorder="1"/>
    <xf numFmtId="164" fontId="0" fillId="0" borderId="0" xfId="0" applyNumberFormat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1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[1]Summary!$B$2</c:f>
              <c:strCache>
                <c:ptCount val="1"/>
                <c:pt idx="0">
                  <c:v>Cu t3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[1]Summary!$H$2:$K$2</c:f>
                <c:numCache>
                  <c:formatCode>General</c:formatCode>
                  <c:ptCount val="4"/>
                  <c:pt idx="1">
                    <c:v>1.9999999999999962E-2</c:v>
                  </c:pt>
                  <c:pt idx="2">
                    <c:v>2.0816659994661313E-2</c:v>
                  </c:pt>
                  <c:pt idx="3">
                    <c:v>5.5075705472860982E-2</c:v>
                  </c:pt>
                </c:numCache>
              </c:numRef>
            </c:plus>
            <c:minus>
              <c:numRef>
                <c:f>[1]Summary!$H$2:$K$2</c:f>
                <c:numCache>
                  <c:formatCode>General</c:formatCode>
                  <c:ptCount val="4"/>
                  <c:pt idx="1">
                    <c:v>1.9999999999999962E-2</c:v>
                  </c:pt>
                  <c:pt idx="2">
                    <c:v>2.0816659994661313E-2</c:v>
                  </c:pt>
                  <c:pt idx="3">
                    <c:v>5.5075705472860982E-2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[1]Summary!$C$15:$F$15</c:f>
              <c:numCache>
                <c:formatCode>General</c:formatCode>
                <c:ptCount val="4"/>
                <c:pt idx="0">
                  <c:v>0</c:v>
                </c:pt>
                <c:pt idx="1">
                  <c:v>0.39993055555555468</c:v>
                </c:pt>
                <c:pt idx="2">
                  <c:v>1.046180555555555</c:v>
                </c:pt>
                <c:pt idx="3">
                  <c:v>2.9704513888888884</c:v>
                </c:pt>
              </c:numCache>
            </c:numRef>
          </c:xVal>
          <c:yVal>
            <c:numRef>
              <c:f>[1]Summary!$C$2:$F$2</c:f>
              <c:numCache>
                <c:formatCode>General</c:formatCode>
                <c:ptCount val="4"/>
                <c:pt idx="0">
                  <c:v>0.61</c:v>
                </c:pt>
                <c:pt idx="1">
                  <c:v>0.56000000000000005</c:v>
                </c:pt>
                <c:pt idx="2">
                  <c:v>0.46333333333333332</c:v>
                </c:pt>
                <c:pt idx="3">
                  <c:v>0.11333333333333334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3-A242-AA65-6716889DBBCB}"/>
            </c:ext>
          </c:extLst>
        </c:ser>
        <c:ser>
          <c:idx val="1"/>
          <c:order val="1"/>
          <c:tx>
            <c:strRef>
              <c:f>[1]Summary!$B$3</c:f>
              <c:strCache>
                <c:ptCount val="1"/>
                <c:pt idx="0">
                  <c:v>Cu t21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dash"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[1]Summary!$H$3:$K$3</c:f>
                <c:numCache>
                  <c:formatCode>General</c:formatCode>
                  <c:ptCount val="4"/>
                  <c:pt idx="1">
                    <c:v>1.1547005383792462E-2</c:v>
                  </c:pt>
                  <c:pt idx="2">
                    <c:v>5.7735026918962623E-3</c:v>
                  </c:pt>
                  <c:pt idx="3">
                    <c:v>5.2915026221291649E-2</c:v>
                  </c:pt>
                </c:numCache>
              </c:numRef>
            </c:plus>
            <c:minus>
              <c:numRef>
                <c:f>[1]Summary!$H$3:$K$3</c:f>
                <c:numCache>
                  <c:formatCode>General</c:formatCode>
                  <c:ptCount val="4"/>
                  <c:pt idx="1">
                    <c:v>1.1547005383792462E-2</c:v>
                  </c:pt>
                  <c:pt idx="2">
                    <c:v>5.7735026918962623E-3</c:v>
                  </c:pt>
                  <c:pt idx="3">
                    <c:v>5.2915026221291649E-2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[1]Summary!$C$16:$F$16</c:f>
              <c:numCache>
                <c:formatCode>General</c:formatCode>
                <c:ptCount val="4"/>
                <c:pt idx="0">
                  <c:v>0</c:v>
                </c:pt>
                <c:pt idx="1">
                  <c:v>0.36315972222222193</c:v>
                </c:pt>
                <c:pt idx="2">
                  <c:v>1.1008680555555557</c:v>
                </c:pt>
                <c:pt idx="3">
                  <c:v>3.0999999999999996</c:v>
                </c:pt>
              </c:numCache>
            </c:numRef>
          </c:xVal>
          <c:yVal>
            <c:numRef>
              <c:f>[1]Summary!$C$3:$F$3</c:f>
              <c:numCache>
                <c:formatCode>General</c:formatCode>
                <c:ptCount val="4"/>
                <c:pt idx="0">
                  <c:v>0.61</c:v>
                </c:pt>
                <c:pt idx="1">
                  <c:v>0.55666666666666664</c:v>
                </c:pt>
                <c:pt idx="2">
                  <c:v>0.50666666666666671</c:v>
                </c:pt>
                <c:pt idx="3">
                  <c:v>0.27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03-A242-AA65-6716889DBBCB}"/>
            </c:ext>
          </c:extLst>
        </c:ser>
        <c:ser>
          <c:idx val="2"/>
          <c:order val="2"/>
          <c:tx>
            <c:strRef>
              <c:f>[1]Summary!$B$4</c:f>
              <c:strCache>
                <c:ptCount val="1"/>
                <c:pt idx="0">
                  <c:v>Cu t39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[1]Summary!$H$4:$K$4</c:f>
                <c:numCache>
                  <c:formatCode>General</c:formatCode>
                  <c:ptCount val="4"/>
                  <c:pt idx="1">
                    <c:v>5.7735026918961981E-3</c:v>
                  </c:pt>
                  <c:pt idx="2">
                    <c:v>2.0000000000000018E-2</c:v>
                  </c:pt>
                  <c:pt idx="3">
                    <c:v>9.0737717258774789E-2</c:v>
                  </c:pt>
                </c:numCache>
              </c:numRef>
            </c:plus>
            <c:minus>
              <c:numRef>
                <c:f>[1]Summary!$H$4:$K$4</c:f>
                <c:numCache>
                  <c:formatCode>General</c:formatCode>
                  <c:ptCount val="4"/>
                  <c:pt idx="1">
                    <c:v>5.7735026918961981E-3</c:v>
                  </c:pt>
                  <c:pt idx="2">
                    <c:v>2.0000000000000018E-2</c:v>
                  </c:pt>
                  <c:pt idx="3">
                    <c:v>9.0737717258774789E-2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[1]Summary!$C$17:$F$17</c:f>
              <c:numCache>
                <c:formatCode>General</c:formatCode>
                <c:ptCount val="4"/>
                <c:pt idx="0">
                  <c:v>0</c:v>
                </c:pt>
                <c:pt idx="1">
                  <c:v>0.41624999999999912</c:v>
                </c:pt>
                <c:pt idx="2">
                  <c:v>1.1036458333333328</c:v>
                </c:pt>
                <c:pt idx="3">
                  <c:v>3.1915972222222218</c:v>
                </c:pt>
              </c:numCache>
            </c:numRef>
          </c:xVal>
          <c:yVal>
            <c:numRef>
              <c:f>[1]Summary!$C$4:$F$4</c:f>
              <c:numCache>
                <c:formatCode>General</c:formatCode>
                <c:ptCount val="4"/>
                <c:pt idx="0">
                  <c:v>0.61</c:v>
                </c:pt>
                <c:pt idx="1">
                  <c:v>0.56333333333333335</c:v>
                </c:pt>
                <c:pt idx="2">
                  <c:v>0.52</c:v>
                </c:pt>
                <c:pt idx="3">
                  <c:v>0.28666666666666668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03-A242-AA65-6716889DBBCB}"/>
            </c:ext>
          </c:extLst>
        </c:ser>
        <c:ser>
          <c:idx val="3"/>
          <c:order val="3"/>
          <c:tx>
            <c:strRef>
              <c:f>[1]Summary!$B$5</c:f>
              <c:strCache>
                <c:ptCount val="1"/>
                <c:pt idx="0">
                  <c:v>C t3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[1]Summary!$H$5:$K$5</c:f>
                <c:numCache>
                  <c:formatCode>General</c:formatCode>
                  <c:ptCount val="4"/>
                  <c:pt idx="1">
                    <c:v>2.0816659994661344E-2</c:v>
                  </c:pt>
                  <c:pt idx="2">
                    <c:v>2.0816659994661313E-2</c:v>
                  </c:pt>
                  <c:pt idx="3">
                    <c:v>5.8594652770823138E-2</c:v>
                  </c:pt>
                </c:numCache>
              </c:numRef>
            </c:plus>
            <c:minus>
              <c:numRef>
                <c:f>[1]Summary!$H$5:$K$5</c:f>
                <c:numCache>
                  <c:formatCode>General</c:formatCode>
                  <c:ptCount val="4"/>
                  <c:pt idx="1">
                    <c:v>2.0816659994661344E-2</c:v>
                  </c:pt>
                  <c:pt idx="2">
                    <c:v>2.0816659994661313E-2</c:v>
                  </c:pt>
                  <c:pt idx="3">
                    <c:v>5.8594652770823138E-2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[1]Summary!$C$15:$F$15</c:f>
              <c:numCache>
                <c:formatCode>General</c:formatCode>
                <c:ptCount val="4"/>
                <c:pt idx="0">
                  <c:v>0</c:v>
                </c:pt>
                <c:pt idx="1">
                  <c:v>0.39993055555555468</c:v>
                </c:pt>
                <c:pt idx="2">
                  <c:v>1.046180555555555</c:v>
                </c:pt>
                <c:pt idx="3">
                  <c:v>2.9704513888888884</c:v>
                </c:pt>
              </c:numCache>
            </c:numRef>
          </c:xVal>
          <c:yVal>
            <c:numRef>
              <c:f>[1]Summary!$C$5:$F$5</c:f>
              <c:numCache>
                <c:formatCode>General</c:formatCode>
                <c:ptCount val="4"/>
                <c:pt idx="0">
                  <c:v>0.61</c:v>
                </c:pt>
                <c:pt idx="1">
                  <c:v>0.52333333333333332</c:v>
                </c:pt>
                <c:pt idx="2">
                  <c:v>0.36333333333333334</c:v>
                </c:pt>
                <c:pt idx="3">
                  <c:v>9.3333333333333338E-2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03-A242-AA65-6716889DBBCB}"/>
            </c:ext>
          </c:extLst>
        </c:ser>
        <c:ser>
          <c:idx val="4"/>
          <c:order val="4"/>
          <c:tx>
            <c:strRef>
              <c:f>[1]Summary!$B$6</c:f>
              <c:strCache>
                <c:ptCount val="1"/>
                <c:pt idx="0">
                  <c:v>C t21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dash"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[1]Summary!$H$6:$K$6</c:f>
                <c:numCache>
                  <c:formatCode>General</c:formatCode>
                  <c:ptCount val="4"/>
                  <c:pt idx="1">
                    <c:v>1.527525231651948E-2</c:v>
                  </c:pt>
                  <c:pt idx="2">
                    <c:v>4.6188021535169918E-2</c:v>
                  </c:pt>
                  <c:pt idx="3">
                    <c:v>3.5118845842842458E-2</c:v>
                  </c:pt>
                </c:numCache>
              </c:numRef>
            </c:plus>
            <c:minus>
              <c:numRef>
                <c:f>[1]Summary!$H$6:$K$6</c:f>
                <c:numCache>
                  <c:formatCode>General</c:formatCode>
                  <c:ptCount val="4"/>
                  <c:pt idx="1">
                    <c:v>1.527525231651948E-2</c:v>
                  </c:pt>
                  <c:pt idx="2">
                    <c:v>4.6188021535169918E-2</c:v>
                  </c:pt>
                  <c:pt idx="3">
                    <c:v>3.5118845842842458E-2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[1]Summary!$C$16:$F$16</c:f>
              <c:numCache>
                <c:formatCode>General</c:formatCode>
                <c:ptCount val="4"/>
                <c:pt idx="0">
                  <c:v>0</c:v>
                </c:pt>
                <c:pt idx="1">
                  <c:v>0.36315972222222193</c:v>
                </c:pt>
                <c:pt idx="2">
                  <c:v>1.1008680555555557</c:v>
                </c:pt>
                <c:pt idx="3">
                  <c:v>3.0999999999999996</c:v>
                </c:pt>
              </c:numCache>
            </c:numRef>
          </c:xVal>
          <c:yVal>
            <c:numRef>
              <c:f>[1]Summary!$C$6:$F$6</c:f>
              <c:numCache>
                <c:formatCode>General</c:formatCode>
                <c:ptCount val="4"/>
                <c:pt idx="0">
                  <c:v>0.61</c:v>
                </c:pt>
                <c:pt idx="1">
                  <c:v>0.53333333333333333</c:v>
                </c:pt>
                <c:pt idx="2">
                  <c:v>0.35666666666666669</c:v>
                </c:pt>
                <c:pt idx="3">
                  <c:v>7.6666666666666675E-2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403-A242-AA65-6716889DBBCB}"/>
            </c:ext>
          </c:extLst>
        </c:ser>
        <c:ser>
          <c:idx val="5"/>
          <c:order val="5"/>
          <c:tx>
            <c:strRef>
              <c:f>[1]Summary!$B$7</c:f>
              <c:strCache>
                <c:ptCount val="1"/>
                <c:pt idx="0">
                  <c:v>C t39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[1]Summary!$C$17:$F$17</c:f>
              <c:numCache>
                <c:formatCode>General</c:formatCode>
                <c:ptCount val="4"/>
                <c:pt idx="0">
                  <c:v>0</c:v>
                </c:pt>
                <c:pt idx="1">
                  <c:v>0.41624999999999912</c:v>
                </c:pt>
                <c:pt idx="2">
                  <c:v>1.1036458333333328</c:v>
                </c:pt>
                <c:pt idx="3">
                  <c:v>3.1915972222222218</c:v>
                </c:pt>
              </c:numCache>
            </c:numRef>
          </c:xVal>
          <c:yVal>
            <c:numRef>
              <c:f>[1]Summary!$C$7:$F$7</c:f>
              <c:numCache>
                <c:formatCode>General</c:formatCode>
                <c:ptCount val="4"/>
                <c:pt idx="0">
                  <c:v>0.61</c:v>
                </c:pt>
                <c:pt idx="1">
                  <c:v>0.54333333333333333</c:v>
                </c:pt>
                <c:pt idx="2">
                  <c:v>0.40333333333333332</c:v>
                </c:pt>
                <c:pt idx="3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403-A242-AA65-6716889DB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026080"/>
        <c:axId val="1811224080"/>
      </c:scatterChart>
      <c:valAx>
        <c:axId val="1811026080"/>
        <c:scaling>
          <c:orientation val="minMax"/>
          <c:max val="3.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Time at 25 uM Cu (h)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1224080"/>
        <c:crosses val="autoZero"/>
        <c:crossBetween val="midCat"/>
      </c:valAx>
      <c:valAx>
        <c:axId val="181122408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Photosynthetic capcity (YII)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102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77755905511806"/>
          <c:y val="1.9426217556139031E-3"/>
          <c:w val="0.18401702680920207"/>
          <c:h val="0.52945446741272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765593887722938E-2"/>
          <c:y val="5.7150954527848428E-2"/>
          <c:w val="0.63939411318752815"/>
          <c:h val="0.73488222771219591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[1]Summary!$B$9</c:f>
              <c:strCache>
                <c:ptCount val="1"/>
                <c:pt idx="0">
                  <c:v>RO5 Cu t3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[1]Summary!$C$15:$F$15</c:f>
              <c:numCache>
                <c:formatCode>General</c:formatCode>
                <c:ptCount val="4"/>
                <c:pt idx="0">
                  <c:v>0</c:v>
                </c:pt>
                <c:pt idx="1">
                  <c:v>0.39993055555555468</c:v>
                </c:pt>
                <c:pt idx="2">
                  <c:v>1.046180555555555</c:v>
                </c:pt>
                <c:pt idx="3">
                  <c:v>2.9704513888888884</c:v>
                </c:pt>
              </c:numCache>
            </c:numRef>
          </c:xVal>
          <c:yVal>
            <c:numRef>
              <c:f>[1]Summary!$C$9:$F$9</c:f>
              <c:numCache>
                <c:formatCode>General</c:formatCode>
                <c:ptCount val="4"/>
                <c:pt idx="0">
                  <c:v>0.61</c:v>
                </c:pt>
                <c:pt idx="1">
                  <c:v>0.52</c:v>
                </c:pt>
                <c:pt idx="2">
                  <c:v>0.51</c:v>
                </c:pt>
                <c:pt idx="3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E3-D24D-84F2-BE222CA179D3}"/>
            </c:ext>
          </c:extLst>
        </c:ser>
        <c:ser>
          <c:idx val="1"/>
          <c:order val="1"/>
          <c:tx>
            <c:strRef>
              <c:f>[1]Summary!$B$10</c:f>
              <c:strCache>
                <c:ptCount val="1"/>
                <c:pt idx="0">
                  <c:v>RO5 Cu t21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dash"/>
              </a:ln>
              <a:effectLst/>
            </c:spPr>
          </c:marker>
          <c:xVal>
            <c:numRef>
              <c:f>[1]Summary!$C$16:$F$16</c:f>
              <c:numCache>
                <c:formatCode>General</c:formatCode>
                <c:ptCount val="4"/>
                <c:pt idx="0">
                  <c:v>0</c:v>
                </c:pt>
                <c:pt idx="1">
                  <c:v>0.36315972222222193</c:v>
                </c:pt>
                <c:pt idx="2">
                  <c:v>1.1008680555555557</c:v>
                </c:pt>
                <c:pt idx="3">
                  <c:v>3.0999999999999996</c:v>
                </c:pt>
              </c:numCache>
            </c:numRef>
          </c:xVal>
          <c:yVal>
            <c:numRef>
              <c:f>[1]Summary!$C$10:$F$10</c:f>
              <c:numCache>
                <c:formatCode>General</c:formatCode>
                <c:ptCount val="4"/>
                <c:pt idx="0">
                  <c:v>0.61</c:v>
                </c:pt>
                <c:pt idx="1">
                  <c:v>0.53</c:v>
                </c:pt>
                <c:pt idx="2">
                  <c:v>0.54</c:v>
                </c:pt>
                <c:pt idx="3">
                  <c:v>0.37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E3-D24D-84F2-BE222CA179D3}"/>
            </c:ext>
          </c:extLst>
        </c:ser>
        <c:ser>
          <c:idx val="2"/>
          <c:order val="2"/>
          <c:tx>
            <c:strRef>
              <c:f>[1]Summary!$B$11</c:f>
              <c:strCache>
                <c:ptCount val="1"/>
                <c:pt idx="0">
                  <c:v>RO5 Cu t39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[1]Summary!$C$17:$F$17</c:f>
              <c:numCache>
                <c:formatCode>General</c:formatCode>
                <c:ptCount val="4"/>
                <c:pt idx="0">
                  <c:v>0</c:v>
                </c:pt>
                <c:pt idx="1">
                  <c:v>0.41624999999999912</c:v>
                </c:pt>
                <c:pt idx="2">
                  <c:v>1.1036458333333328</c:v>
                </c:pt>
                <c:pt idx="3">
                  <c:v>3.1915972222222218</c:v>
                </c:pt>
              </c:numCache>
            </c:numRef>
          </c:xVal>
          <c:yVal>
            <c:numRef>
              <c:f>[1]Summary!$C$11:$F$11</c:f>
              <c:numCache>
                <c:formatCode>General</c:formatCode>
                <c:ptCount val="4"/>
                <c:pt idx="0">
                  <c:v>0.61</c:v>
                </c:pt>
                <c:pt idx="1">
                  <c:v>0.56000000000000005</c:v>
                </c:pt>
                <c:pt idx="2">
                  <c:v>0.53</c:v>
                </c:pt>
                <c:pt idx="3">
                  <c:v>0.37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E3-D24D-84F2-BE222CA179D3}"/>
            </c:ext>
          </c:extLst>
        </c:ser>
        <c:ser>
          <c:idx val="3"/>
          <c:order val="3"/>
          <c:tx>
            <c:strRef>
              <c:f>[1]Summary!$B$12</c:f>
              <c:strCache>
                <c:ptCount val="1"/>
                <c:pt idx="0">
                  <c:v>RO5 C t3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[1]Summary!$C$15:$F$15</c:f>
              <c:numCache>
                <c:formatCode>General</c:formatCode>
                <c:ptCount val="4"/>
                <c:pt idx="0">
                  <c:v>0</c:v>
                </c:pt>
                <c:pt idx="1">
                  <c:v>0.39993055555555468</c:v>
                </c:pt>
                <c:pt idx="2">
                  <c:v>1.046180555555555</c:v>
                </c:pt>
                <c:pt idx="3">
                  <c:v>2.9704513888888884</c:v>
                </c:pt>
              </c:numCache>
            </c:numRef>
          </c:xVal>
          <c:yVal>
            <c:numRef>
              <c:f>[1]Summary!$C$12:$F$12</c:f>
              <c:numCache>
                <c:formatCode>General</c:formatCode>
                <c:ptCount val="4"/>
                <c:pt idx="0">
                  <c:v>0.61</c:v>
                </c:pt>
                <c:pt idx="1">
                  <c:v>0.42</c:v>
                </c:pt>
                <c:pt idx="2">
                  <c:v>0.38</c:v>
                </c:pt>
                <c:pt idx="3">
                  <c:v>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E3-D24D-84F2-BE222CA179D3}"/>
            </c:ext>
          </c:extLst>
        </c:ser>
        <c:ser>
          <c:idx val="4"/>
          <c:order val="4"/>
          <c:tx>
            <c:strRef>
              <c:f>[1]Summary!$B$13</c:f>
              <c:strCache>
                <c:ptCount val="1"/>
                <c:pt idx="0">
                  <c:v>RO5 C t21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dash"/>
              </a:ln>
              <a:effectLst/>
            </c:spPr>
          </c:marker>
          <c:xVal>
            <c:numRef>
              <c:f>[1]Summary!$C$16:$F$16</c:f>
              <c:numCache>
                <c:formatCode>General</c:formatCode>
                <c:ptCount val="4"/>
                <c:pt idx="0">
                  <c:v>0</c:v>
                </c:pt>
                <c:pt idx="1">
                  <c:v>0.36315972222222193</c:v>
                </c:pt>
                <c:pt idx="2">
                  <c:v>1.1008680555555557</c:v>
                </c:pt>
                <c:pt idx="3">
                  <c:v>3.0999999999999996</c:v>
                </c:pt>
              </c:numCache>
            </c:numRef>
          </c:xVal>
          <c:yVal>
            <c:numRef>
              <c:f>[1]Summary!$C$13:$F$13</c:f>
              <c:numCache>
                <c:formatCode>General</c:formatCode>
                <c:ptCount val="4"/>
                <c:pt idx="0">
                  <c:v>0.61</c:v>
                </c:pt>
                <c:pt idx="1">
                  <c:v>0.51</c:v>
                </c:pt>
                <c:pt idx="2">
                  <c:v>0.45</c:v>
                </c:pt>
                <c:pt idx="3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E3-D24D-84F2-BE222CA179D3}"/>
            </c:ext>
          </c:extLst>
        </c:ser>
        <c:ser>
          <c:idx val="5"/>
          <c:order val="5"/>
          <c:tx>
            <c:strRef>
              <c:f>[1]Summary!$B$14</c:f>
              <c:strCache>
                <c:ptCount val="1"/>
                <c:pt idx="0">
                  <c:v>RO5 C t39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[1]Summary!$C$17:$F$17</c:f>
              <c:numCache>
                <c:formatCode>General</c:formatCode>
                <c:ptCount val="4"/>
                <c:pt idx="0">
                  <c:v>0</c:v>
                </c:pt>
                <c:pt idx="1">
                  <c:v>0.41624999999999912</c:v>
                </c:pt>
                <c:pt idx="2">
                  <c:v>1.1036458333333328</c:v>
                </c:pt>
                <c:pt idx="3">
                  <c:v>3.1915972222222218</c:v>
                </c:pt>
              </c:numCache>
            </c:numRef>
          </c:xVal>
          <c:yVal>
            <c:numRef>
              <c:f>[1]Summary!$C$14:$F$14</c:f>
              <c:numCache>
                <c:formatCode>General</c:formatCode>
                <c:ptCount val="4"/>
                <c:pt idx="0">
                  <c:v>0.61</c:v>
                </c:pt>
                <c:pt idx="1">
                  <c:v>0.56000000000000005</c:v>
                </c:pt>
                <c:pt idx="2">
                  <c:v>0.45</c:v>
                </c:pt>
                <c:pt idx="3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E3-D24D-84F2-BE222CA1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026080"/>
        <c:axId val="1811224080"/>
      </c:scatterChart>
      <c:valAx>
        <c:axId val="1811026080"/>
        <c:scaling>
          <c:orientation val="minMax"/>
          <c:max val="3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Time at 5 uM Cu (h)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1224080"/>
        <c:crosses val="autoZero"/>
        <c:crossBetween val="midCat"/>
      </c:valAx>
      <c:valAx>
        <c:axId val="1811224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Photosynthetic capcity (YII)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102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611089238845149"/>
          <c:y val="1.9426217556139031E-3"/>
          <c:w val="0.27629221347331578"/>
          <c:h val="0.53599081364829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Loss of photosynthetic</a:t>
            </a:r>
            <a:r>
              <a:rPr lang="sv-SE" baseline="0"/>
              <a:t> capcaity under Cu stress</a:t>
            </a:r>
            <a:endParaRPr lang="sv-S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[1]Summary!$Z$2</c:f>
              <c:strCache>
                <c:ptCount val="1"/>
                <c:pt idx="0">
                  <c:v>Control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errBars>
            <c:errBarType val="minus"/>
            <c:errValType val="cust"/>
            <c:noEndCap val="0"/>
            <c:plus>
              <c:numRef>
                <c:f>[1]Summary!$AE$2:$AG$2</c:f>
                <c:numCache>
                  <c:formatCode>General</c:formatCode>
                  <c:ptCount val="3"/>
                  <c:pt idx="0">
                    <c:v>2.0343588374783145E-2</c:v>
                  </c:pt>
                  <c:pt idx="1">
                    <c:v>1.0521975459135321E-2</c:v>
                  </c:pt>
                  <c:pt idx="2">
                    <c:v>3.4901871325276677E-3</c:v>
                  </c:pt>
                </c:numCache>
              </c:numRef>
            </c:plus>
            <c:minus>
              <c:numRef>
                <c:f>[1]Summary!$AE$2:$AG$2</c:f>
                <c:numCache>
                  <c:formatCode>General</c:formatCode>
                  <c:ptCount val="3"/>
                  <c:pt idx="0">
                    <c:v>2.0343588374783145E-2</c:v>
                  </c:pt>
                  <c:pt idx="1">
                    <c:v>1.0521975459135321E-2</c:v>
                  </c:pt>
                  <c:pt idx="2">
                    <c:v>3.4901871325276677E-3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[1]Summary!$AA$1:$AC$1</c:f>
              <c:strCache>
                <c:ptCount val="3"/>
                <c:pt idx="0">
                  <c:v>t3</c:v>
                </c:pt>
                <c:pt idx="1">
                  <c:v>t24</c:v>
                </c:pt>
                <c:pt idx="2">
                  <c:v>t39</c:v>
                </c:pt>
              </c:strCache>
            </c:strRef>
          </c:cat>
          <c:val>
            <c:numRef>
              <c:f>[1]Summary!$AA$2:$AC$2</c:f>
              <c:numCache>
                <c:formatCode>General</c:formatCode>
                <c:ptCount val="3"/>
                <c:pt idx="0">
                  <c:v>-0.17292022803509113</c:v>
                </c:pt>
                <c:pt idx="1">
                  <c:v>-0.17090074852807535</c:v>
                </c:pt>
                <c:pt idx="2">
                  <c:v>-0.17380301008271168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B-4346-8574-FD9FA36491B1}"/>
            </c:ext>
          </c:extLst>
        </c:ser>
        <c:ser>
          <c:idx val="1"/>
          <c:order val="1"/>
          <c:tx>
            <c:strRef>
              <c:f>[1]Summary!$Z$3</c:f>
              <c:strCache>
                <c:ptCount val="1"/>
                <c:pt idx="0">
                  <c:v>Cu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minus"/>
            <c:errValType val="cust"/>
            <c:noEndCap val="0"/>
            <c:plus>
              <c:numRef>
                <c:f>[1]Summary!$AE$3:$AG$3</c:f>
                <c:numCache>
                  <c:formatCode>General</c:formatCode>
                  <c:ptCount val="3"/>
                  <c:pt idx="0">
                    <c:v>1.9740088781505283E-2</c:v>
                  </c:pt>
                  <c:pt idx="1">
                    <c:v>1.3709416348087932E-2</c:v>
                  </c:pt>
                  <c:pt idx="2">
                    <c:v>2.643124678423845E-2</c:v>
                  </c:pt>
                </c:numCache>
              </c:numRef>
            </c:plus>
            <c:minus>
              <c:numRef>
                <c:f>[1]Summary!$AE$3:$AG$3</c:f>
                <c:numCache>
                  <c:formatCode>General</c:formatCode>
                  <c:ptCount val="3"/>
                  <c:pt idx="0">
                    <c:v>1.9740088781505283E-2</c:v>
                  </c:pt>
                  <c:pt idx="1">
                    <c:v>1.3709416348087932E-2</c:v>
                  </c:pt>
                  <c:pt idx="2">
                    <c:v>2.643124678423845E-2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[1]Summary!$AA$1:$AC$1</c:f>
              <c:strCache>
                <c:ptCount val="3"/>
                <c:pt idx="0">
                  <c:v>t3</c:v>
                </c:pt>
                <c:pt idx="1">
                  <c:v>t24</c:v>
                </c:pt>
                <c:pt idx="2">
                  <c:v>t39</c:v>
                </c:pt>
              </c:strCache>
            </c:strRef>
          </c:cat>
          <c:val>
            <c:numRef>
              <c:f>[1]Summary!$AA$3:$AC$3</c:f>
              <c:numCache>
                <c:formatCode>General</c:formatCode>
                <c:ptCount val="3"/>
                <c:pt idx="0">
                  <c:v>-0.15601029876321287</c:v>
                </c:pt>
                <c:pt idx="1">
                  <c:v>-0.11073999317751629</c:v>
                </c:pt>
                <c:pt idx="2">
                  <c:v>-8.1795589460464932E-2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8B-4346-8574-FD9FA36491B1}"/>
            </c:ext>
          </c:extLst>
        </c:ser>
        <c:ser>
          <c:idx val="2"/>
          <c:order val="2"/>
          <c:tx>
            <c:strRef>
              <c:f>[1]Summary!$Z$4</c:f>
              <c:strCache>
                <c:ptCount val="1"/>
                <c:pt idx="0">
                  <c:v>RO5_C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[1]Summary!$AA$1:$AC$1</c:f>
              <c:strCache>
                <c:ptCount val="3"/>
                <c:pt idx="0">
                  <c:v>t3</c:v>
                </c:pt>
                <c:pt idx="1">
                  <c:v>t24</c:v>
                </c:pt>
                <c:pt idx="2">
                  <c:v>t39</c:v>
                </c:pt>
              </c:strCache>
            </c:strRef>
          </c:cat>
          <c:val>
            <c:numRef>
              <c:f>[1]Summary!$AA$4:$AC$4</c:f>
              <c:numCache>
                <c:formatCode>General</c:formatCode>
                <c:ptCount val="3"/>
                <c:pt idx="0">
                  <c:v>-0.13339943269982935</c:v>
                </c:pt>
                <c:pt idx="1">
                  <c:v>-8.368376542057239E-2</c:v>
                </c:pt>
                <c:pt idx="2">
                  <c:v>-8.8396425752185481E-2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8B-4346-8574-FD9FA36491B1}"/>
            </c:ext>
          </c:extLst>
        </c:ser>
        <c:ser>
          <c:idx val="3"/>
          <c:order val="3"/>
          <c:tx>
            <c:strRef>
              <c:f>[1]Summary!$Z$5</c:f>
              <c:strCache>
                <c:ptCount val="1"/>
                <c:pt idx="0">
                  <c:v>RO5_Cu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[1]Summary!$AA$1:$AC$1</c:f>
              <c:strCache>
                <c:ptCount val="3"/>
                <c:pt idx="0">
                  <c:v>t3</c:v>
                </c:pt>
                <c:pt idx="1">
                  <c:v>t24</c:v>
                </c:pt>
                <c:pt idx="2">
                  <c:v>t39</c:v>
                </c:pt>
              </c:strCache>
            </c:strRef>
          </c:cat>
          <c:val>
            <c:numRef>
              <c:f>[1]Summary!$AA$5:$AC$5</c:f>
              <c:numCache>
                <c:formatCode>General</c:formatCode>
                <c:ptCount val="3"/>
                <c:pt idx="0">
                  <c:v>-6.8298377996301951E-2</c:v>
                </c:pt>
                <c:pt idx="1">
                  <c:v>-7.0112107016044742E-2</c:v>
                </c:pt>
                <c:pt idx="2">
                  <c:v>-7.2446094299596739E-2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8B-4346-8574-FD9FA364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052271"/>
        <c:axId val="1634081935"/>
      </c:barChart>
      <c:catAx>
        <c:axId val="163405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34081935"/>
        <c:crosses val="autoZero"/>
        <c:auto val="1"/>
        <c:lblAlgn val="ctr"/>
        <c:lblOffset val="100"/>
        <c:noMultiLvlLbl val="0"/>
      </c:catAx>
      <c:valAx>
        <c:axId val="163408193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Loss of Y(II) [h-1]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3405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Loss of photosynthetic capacity under Cu stress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[1]Summary!$Z$7</c:f>
              <c:strCache>
                <c:ptCount val="1"/>
                <c:pt idx="0">
                  <c:v>Control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[1]Summary!$AE$2:$AG$2</c:f>
                <c:numCache>
                  <c:formatCode>General</c:formatCode>
                  <c:ptCount val="3"/>
                  <c:pt idx="0">
                    <c:v>2.0343588374783145E-2</c:v>
                  </c:pt>
                  <c:pt idx="1">
                    <c:v>1.0521975459135321E-2</c:v>
                  </c:pt>
                  <c:pt idx="2">
                    <c:v>3.4901871325276677E-3</c:v>
                  </c:pt>
                </c:numCache>
              </c:numRef>
            </c:plus>
            <c:minus>
              <c:numRef>
                <c:f>[1]Summary!$AE$2:$AG$2</c:f>
                <c:numCache>
                  <c:formatCode>General</c:formatCode>
                  <c:ptCount val="3"/>
                  <c:pt idx="0">
                    <c:v>2.0343588374783145E-2</c:v>
                  </c:pt>
                  <c:pt idx="1">
                    <c:v>1.0521975459135321E-2</c:v>
                  </c:pt>
                  <c:pt idx="2">
                    <c:v>3.4901871325276677E-3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[1]Summary!$AA$1:$AC$1</c:f>
              <c:strCache>
                <c:ptCount val="3"/>
                <c:pt idx="0">
                  <c:v>t3</c:v>
                </c:pt>
                <c:pt idx="1">
                  <c:v>t24</c:v>
                </c:pt>
                <c:pt idx="2">
                  <c:v>t39</c:v>
                </c:pt>
              </c:strCache>
            </c:strRef>
          </c:cat>
          <c:val>
            <c:numRef>
              <c:f>[1]Summary!$AA$7:$AC$7</c:f>
              <c:numCache>
                <c:formatCode>General</c:formatCode>
                <c:ptCount val="3"/>
                <c:pt idx="0">
                  <c:v>0.28347578366408382</c:v>
                </c:pt>
                <c:pt idx="1">
                  <c:v>0.280165161521435</c:v>
                </c:pt>
                <c:pt idx="2">
                  <c:v>0.2849229673487077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31-4C46-8189-1BDFADC5D013}"/>
            </c:ext>
          </c:extLst>
        </c:ser>
        <c:ser>
          <c:idx val="1"/>
          <c:order val="1"/>
          <c:tx>
            <c:strRef>
              <c:f>[1]Summary!$Z$8</c:f>
              <c:strCache>
                <c:ptCount val="1"/>
                <c:pt idx="0">
                  <c:v>Cu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[1]Summary!$AE$3:$AG$3</c:f>
                <c:numCache>
                  <c:formatCode>General</c:formatCode>
                  <c:ptCount val="3"/>
                  <c:pt idx="0">
                    <c:v>1.9740088781505283E-2</c:v>
                  </c:pt>
                  <c:pt idx="1">
                    <c:v>1.3709416348087932E-2</c:v>
                  </c:pt>
                  <c:pt idx="2">
                    <c:v>2.643124678423845E-2</c:v>
                  </c:pt>
                </c:numCache>
              </c:numRef>
            </c:plus>
            <c:minus>
              <c:numRef>
                <c:f>[1]Summary!$AE$3:$AG$3</c:f>
                <c:numCache>
                  <c:formatCode>General</c:formatCode>
                  <c:ptCount val="3"/>
                  <c:pt idx="0">
                    <c:v>1.9740088781505283E-2</c:v>
                  </c:pt>
                  <c:pt idx="1">
                    <c:v>1.3709416348087932E-2</c:v>
                  </c:pt>
                  <c:pt idx="2">
                    <c:v>2.643124678423845E-2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[1]Summary!$AA$1:$AC$1</c:f>
              <c:strCache>
                <c:ptCount val="3"/>
                <c:pt idx="0">
                  <c:v>t3</c:v>
                </c:pt>
                <c:pt idx="1">
                  <c:v>t24</c:v>
                </c:pt>
                <c:pt idx="2">
                  <c:v>t39</c:v>
                </c:pt>
              </c:strCache>
            </c:strRef>
          </c:cat>
          <c:val>
            <c:numRef>
              <c:f>[1]Summary!$AA$8:$AC$8</c:f>
              <c:numCache>
                <c:formatCode>General</c:formatCode>
                <c:ptCount val="3"/>
                <c:pt idx="0">
                  <c:v>0.25575458813641455</c:v>
                </c:pt>
                <c:pt idx="1">
                  <c:v>0.18154097242215786</c:v>
                </c:pt>
                <c:pt idx="2">
                  <c:v>0.13409113026305727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31-4C46-8189-1BDFADC5D013}"/>
            </c:ext>
          </c:extLst>
        </c:ser>
        <c:ser>
          <c:idx val="2"/>
          <c:order val="2"/>
          <c:tx>
            <c:strRef>
              <c:f>[1]Summary!$Z$9</c:f>
              <c:strCache>
                <c:ptCount val="1"/>
                <c:pt idx="0">
                  <c:v>RO5_C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[1]Summary!$AA$1:$AC$1</c:f>
              <c:strCache>
                <c:ptCount val="3"/>
                <c:pt idx="0">
                  <c:v>t3</c:v>
                </c:pt>
                <c:pt idx="1">
                  <c:v>t24</c:v>
                </c:pt>
                <c:pt idx="2">
                  <c:v>t39</c:v>
                </c:pt>
              </c:strCache>
            </c:strRef>
          </c:cat>
          <c:val>
            <c:numRef>
              <c:f>[1]Summary!$AA$9:$AC$9</c:f>
              <c:numCache>
                <c:formatCode>General</c:formatCode>
                <c:ptCount val="3"/>
                <c:pt idx="0">
                  <c:v>0.21868759458988418</c:v>
                </c:pt>
                <c:pt idx="1">
                  <c:v>0.13718650068946295</c:v>
                </c:pt>
                <c:pt idx="2">
                  <c:v>0.14491217336423851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31-4C46-8189-1BDFADC5D013}"/>
            </c:ext>
          </c:extLst>
        </c:ser>
        <c:ser>
          <c:idx val="3"/>
          <c:order val="3"/>
          <c:tx>
            <c:strRef>
              <c:f>[1]Summary!$Z$10</c:f>
              <c:strCache>
                <c:ptCount val="1"/>
                <c:pt idx="0">
                  <c:v>RO5_Cu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[1]Summary!$AA$1:$AC$1</c:f>
              <c:strCache>
                <c:ptCount val="3"/>
                <c:pt idx="0">
                  <c:v>t3</c:v>
                </c:pt>
                <c:pt idx="1">
                  <c:v>t24</c:v>
                </c:pt>
                <c:pt idx="2">
                  <c:v>t39</c:v>
                </c:pt>
              </c:strCache>
            </c:strRef>
          </c:cat>
          <c:val>
            <c:numRef>
              <c:f>[1]Summary!$AA$10:$AC$10</c:f>
              <c:numCache>
                <c:formatCode>General</c:formatCode>
                <c:ptCount val="3"/>
                <c:pt idx="0">
                  <c:v>0.11196455409229829</c:v>
                </c:pt>
                <c:pt idx="1">
                  <c:v>0.11493788035417171</c:v>
                </c:pt>
                <c:pt idx="2">
                  <c:v>0.11876408901573236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31-4C46-8189-1BDFADC5D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052271"/>
        <c:axId val="1634081935"/>
      </c:barChart>
      <c:catAx>
        <c:axId val="163405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34081935"/>
        <c:crosses val="autoZero"/>
        <c:auto val="1"/>
        <c:lblAlgn val="ctr"/>
        <c:lblOffset val="100"/>
        <c:noMultiLvlLbl val="0"/>
      </c:catAx>
      <c:valAx>
        <c:axId val="163408193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Loss of Y(II) [fraction h-1]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3405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[2]Summary!$S$2</c:f>
              <c:strCache>
                <c:ptCount val="1"/>
                <c:pt idx="0">
                  <c:v>Cu t3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[2]Summary!$Y$2:$AB$2</c:f>
                <c:numCache>
                  <c:formatCode>General</c:formatCode>
                  <c:ptCount val="4"/>
                  <c:pt idx="1">
                    <c:v>1.0000000000000009E-2</c:v>
                  </c:pt>
                  <c:pt idx="2">
                    <c:v>1.5275252316519449E-2</c:v>
                  </c:pt>
                  <c:pt idx="3">
                    <c:v>1.8562004694663591E-2</c:v>
                  </c:pt>
                </c:numCache>
              </c:numRef>
            </c:plus>
            <c:minus>
              <c:numRef>
                <c:f>[2]Summary!$Y$2:$AB$2</c:f>
                <c:numCache>
                  <c:formatCode>General</c:formatCode>
                  <c:ptCount val="4"/>
                  <c:pt idx="1">
                    <c:v>1.0000000000000009E-2</c:v>
                  </c:pt>
                  <c:pt idx="2">
                    <c:v>1.5275252316519449E-2</c:v>
                  </c:pt>
                  <c:pt idx="3">
                    <c:v>1.8562004694663591E-2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[2]Summary!$T$15:$W$15</c:f>
              <c:numCache>
                <c:formatCode>General</c:formatCode>
                <c:ptCount val="4"/>
                <c:pt idx="0">
                  <c:v>0</c:v>
                </c:pt>
                <c:pt idx="1">
                  <c:v>0.46597222222222312</c:v>
                </c:pt>
                <c:pt idx="2">
                  <c:v>1.1413888888888897</c:v>
                </c:pt>
                <c:pt idx="3">
                  <c:v>2.8963888888888896</c:v>
                </c:pt>
              </c:numCache>
            </c:numRef>
          </c:xVal>
          <c:yVal>
            <c:numRef>
              <c:f>[2]Summary!$T$2:$W$2</c:f>
              <c:numCache>
                <c:formatCode>General</c:formatCode>
                <c:ptCount val="4"/>
                <c:pt idx="0">
                  <c:v>0.61</c:v>
                </c:pt>
                <c:pt idx="1">
                  <c:v>0.61</c:v>
                </c:pt>
                <c:pt idx="2">
                  <c:v>0.45333333333333331</c:v>
                </c:pt>
                <c:pt idx="3">
                  <c:v>0.17171157485326249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E-F440-936E-025F17182769}"/>
            </c:ext>
          </c:extLst>
        </c:ser>
        <c:ser>
          <c:idx val="1"/>
          <c:order val="1"/>
          <c:tx>
            <c:strRef>
              <c:f>[2]Summary!$S$3</c:f>
              <c:strCache>
                <c:ptCount val="1"/>
                <c:pt idx="0">
                  <c:v>Cu t21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dash"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[2]Summary!$Y$3:$AB$3</c:f>
                <c:numCache>
                  <c:formatCode>General</c:formatCode>
                  <c:ptCount val="4"/>
                  <c:pt idx="1">
                    <c:v>2.5166114784235794E-2</c:v>
                  </c:pt>
                  <c:pt idx="2">
                    <c:v>3.5118845842842465E-2</c:v>
                  </c:pt>
                  <c:pt idx="3">
                    <c:v>4.3141950754627845E-2</c:v>
                  </c:pt>
                </c:numCache>
              </c:numRef>
            </c:plus>
            <c:minus>
              <c:numRef>
                <c:f>[2]Summary!$Y$3:$AB$3</c:f>
                <c:numCache>
                  <c:formatCode>General</c:formatCode>
                  <c:ptCount val="4"/>
                  <c:pt idx="1">
                    <c:v>2.5166114784235794E-2</c:v>
                  </c:pt>
                  <c:pt idx="2">
                    <c:v>3.5118845842842465E-2</c:v>
                  </c:pt>
                  <c:pt idx="3">
                    <c:v>4.3141950754627845E-2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[2]Summary!$T$16:$W$16</c:f>
              <c:numCache>
                <c:formatCode>General</c:formatCode>
                <c:ptCount val="4"/>
                <c:pt idx="0">
                  <c:v>0</c:v>
                </c:pt>
                <c:pt idx="1">
                  <c:v>0.46968749999999948</c:v>
                </c:pt>
                <c:pt idx="2">
                  <c:v>1.1949999999999996</c:v>
                </c:pt>
                <c:pt idx="3">
                  <c:v>3.2830902777777773</c:v>
                </c:pt>
              </c:numCache>
            </c:numRef>
          </c:xVal>
          <c:yVal>
            <c:numRef>
              <c:f>[2]Summary!$T$3:$W$3</c:f>
              <c:numCache>
                <c:formatCode>General</c:formatCode>
                <c:ptCount val="4"/>
                <c:pt idx="0">
                  <c:v>0.61</c:v>
                </c:pt>
                <c:pt idx="1">
                  <c:v>0.56333333333333335</c:v>
                </c:pt>
                <c:pt idx="2">
                  <c:v>0.47333333333333333</c:v>
                </c:pt>
                <c:pt idx="3">
                  <c:v>0.27540791940722437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AE-F440-936E-025F17182769}"/>
            </c:ext>
          </c:extLst>
        </c:ser>
        <c:ser>
          <c:idx val="2"/>
          <c:order val="2"/>
          <c:tx>
            <c:strRef>
              <c:f>[2]Summary!$S$4</c:f>
              <c:strCache>
                <c:ptCount val="1"/>
                <c:pt idx="0">
                  <c:v>Cu t39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[2]Summary!$Y$4:$AB$4</c:f>
                <c:numCache>
                  <c:formatCode>General</c:formatCode>
                  <c:ptCount val="4"/>
                  <c:pt idx="1">
                    <c:v>4.3588989435406712E-2</c:v>
                  </c:pt>
                  <c:pt idx="2">
                    <c:v>4.5825756949558413E-2</c:v>
                  </c:pt>
                  <c:pt idx="3">
                    <c:v>6.3221296725909398E-2</c:v>
                  </c:pt>
                </c:numCache>
              </c:numRef>
            </c:plus>
            <c:minus>
              <c:numRef>
                <c:f>[2]Summary!$Y$4:$AB$4</c:f>
                <c:numCache>
                  <c:formatCode>General</c:formatCode>
                  <c:ptCount val="4"/>
                  <c:pt idx="1">
                    <c:v>4.3588989435406712E-2</c:v>
                  </c:pt>
                  <c:pt idx="2">
                    <c:v>4.5825756949558413E-2</c:v>
                  </c:pt>
                  <c:pt idx="3">
                    <c:v>6.3221296725909398E-2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[2]Summary!$T$17:$W$17</c:f>
              <c:numCache>
                <c:formatCode>General</c:formatCode>
                <c:ptCount val="4"/>
                <c:pt idx="0">
                  <c:v>0</c:v>
                </c:pt>
                <c:pt idx="1">
                  <c:v>0.36993055555555598</c:v>
                </c:pt>
                <c:pt idx="2">
                  <c:v>1.0937847222222228</c:v>
                </c:pt>
                <c:pt idx="3">
                  <c:v>2.7832638888888894</c:v>
                </c:pt>
              </c:numCache>
            </c:numRef>
          </c:xVal>
          <c:yVal>
            <c:numRef>
              <c:f>[2]Summary!$T$4:$W$4</c:f>
              <c:numCache>
                <c:formatCode>General</c:formatCode>
                <c:ptCount val="4"/>
                <c:pt idx="0">
                  <c:v>0.61</c:v>
                </c:pt>
                <c:pt idx="1">
                  <c:v>0.57000000000000006</c:v>
                </c:pt>
                <c:pt idx="2">
                  <c:v>0.5</c:v>
                </c:pt>
                <c:pt idx="3">
                  <c:v>0.28814994156897505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AE-F440-936E-025F17182769}"/>
            </c:ext>
          </c:extLst>
        </c:ser>
        <c:ser>
          <c:idx val="3"/>
          <c:order val="3"/>
          <c:tx>
            <c:strRef>
              <c:f>[2]Summary!$S$5</c:f>
              <c:strCache>
                <c:ptCount val="1"/>
                <c:pt idx="0">
                  <c:v>C t3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[2]Summary!$Y$5:$AB$5</c:f>
                <c:numCache>
                  <c:formatCode>General</c:formatCode>
                  <c:ptCount val="4"/>
                  <c:pt idx="1">
                    <c:v>1.9999999999999962E-2</c:v>
                  </c:pt>
                  <c:pt idx="2">
                    <c:v>1.0000000000000009E-2</c:v>
                  </c:pt>
                  <c:pt idx="3">
                    <c:v>2.9254976355277809E-2</c:v>
                  </c:pt>
                </c:numCache>
              </c:numRef>
            </c:plus>
            <c:minus>
              <c:numRef>
                <c:f>[2]Summary!$Y$5:$AB$5</c:f>
                <c:numCache>
                  <c:formatCode>General</c:formatCode>
                  <c:ptCount val="4"/>
                  <c:pt idx="1">
                    <c:v>1.9999999999999962E-2</c:v>
                  </c:pt>
                  <c:pt idx="2">
                    <c:v>1.0000000000000009E-2</c:v>
                  </c:pt>
                  <c:pt idx="3">
                    <c:v>2.9254976355277809E-2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[2]Summary!$T$15:$W$15</c:f>
              <c:numCache>
                <c:formatCode>General</c:formatCode>
                <c:ptCount val="4"/>
                <c:pt idx="0">
                  <c:v>0</c:v>
                </c:pt>
                <c:pt idx="1">
                  <c:v>0.46597222222222312</c:v>
                </c:pt>
                <c:pt idx="2">
                  <c:v>1.1413888888888897</c:v>
                </c:pt>
                <c:pt idx="3">
                  <c:v>2.8963888888888896</c:v>
                </c:pt>
              </c:numCache>
            </c:numRef>
          </c:xVal>
          <c:yVal>
            <c:numRef>
              <c:f>[2]Summary!$T$5:$W$5</c:f>
              <c:numCache>
                <c:formatCode>General</c:formatCode>
                <c:ptCount val="4"/>
                <c:pt idx="0">
                  <c:v>0.61</c:v>
                </c:pt>
                <c:pt idx="1">
                  <c:v>0.58000000000000007</c:v>
                </c:pt>
                <c:pt idx="2">
                  <c:v>0.38000000000000006</c:v>
                </c:pt>
                <c:pt idx="3">
                  <c:v>0.1033444303814512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AE-F440-936E-025F17182769}"/>
            </c:ext>
          </c:extLst>
        </c:ser>
        <c:ser>
          <c:idx val="4"/>
          <c:order val="4"/>
          <c:tx>
            <c:strRef>
              <c:f>[2]Summary!$S$6</c:f>
              <c:strCache>
                <c:ptCount val="1"/>
                <c:pt idx="0">
                  <c:v>C t21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dash"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[2]Summary!$Y$6:$AB$6</c:f>
                <c:numCache>
                  <c:formatCode>General</c:formatCode>
                  <c:ptCount val="4"/>
                  <c:pt idx="1">
                    <c:v>1.527525231651948E-2</c:v>
                  </c:pt>
                  <c:pt idx="2">
                    <c:v>1.1547005383792525E-2</c:v>
                  </c:pt>
                  <c:pt idx="3">
                    <c:v>3.1049501278723118E-2</c:v>
                  </c:pt>
                </c:numCache>
              </c:numRef>
            </c:plus>
            <c:minus>
              <c:numRef>
                <c:f>[2]Summary!$Y$6:$AB$6</c:f>
                <c:numCache>
                  <c:formatCode>General</c:formatCode>
                  <c:ptCount val="4"/>
                  <c:pt idx="1">
                    <c:v>1.527525231651948E-2</c:v>
                  </c:pt>
                  <c:pt idx="2">
                    <c:v>1.1547005383792525E-2</c:v>
                  </c:pt>
                  <c:pt idx="3">
                    <c:v>3.1049501278723118E-2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[2]Summary!$T$16:$W$16</c:f>
              <c:numCache>
                <c:formatCode>General</c:formatCode>
                <c:ptCount val="4"/>
                <c:pt idx="0">
                  <c:v>0</c:v>
                </c:pt>
                <c:pt idx="1">
                  <c:v>0.46968749999999948</c:v>
                </c:pt>
                <c:pt idx="2">
                  <c:v>1.1949999999999996</c:v>
                </c:pt>
                <c:pt idx="3">
                  <c:v>3.2830902777777773</c:v>
                </c:pt>
              </c:numCache>
            </c:numRef>
          </c:xVal>
          <c:yVal>
            <c:numRef>
              <c:f>[2]Summary!$T$6:$W$6</c:f>
              <c:numCache>
                <c:formatCode>General</c:formatCode>
                <c:ptCount val="4"/>
                <c:pt idx="0">
                  <c:v>0.61</c:v>
                </c:pt>
                <c:pt idx="1">
                  <c:v>0.53333333333333333</c:v>
                </c:pt>
                <c:pt idx="2">
                  <c:v>0.3666666666666667</c:v>
                </c:pt>
                <c:pt idx="3">
                  <c:v>6.0156259266663688E-2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AE-F440-936E-025F17182769}"/>
            </c:ext>
          </c:extLst>
        </c:ser>
        <c:ser>
          <c:idx val="5"/>
          <c:order val="5"/>
          <c:tx>
            <c:strRef>
              <c:f>[2]Summary!$S$7</c:f>
              <c:strCache>
                <c:ptCount val="1"/>
                <c:pt idx="0">
                  <c:v>C t39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[2]Summary!$T$17:$W$17</c:f>
              <c:numCache>
                <c:formatCode>General</c:formatCode>
                <c:ptCount val="4"/>
                <c:pt idx="0">
                  <c:v>0</c:v>
                </c:pt>
                <c:pt idx="1">
                  <c:v>0.36993055555555598</c:v>
                </c:pt>
                <c:pt idx="2">
                  <c:v>1.0937847222222228</c:v>
                </c:pt>
                <c:pt idx="3">
                  <c:v>2.7832638888888894</c:v>
                </c:pt>
              </c:numCache>
            </c:numRef>
          </c:xVal>
          <c:yVal>
            <c:numRef>
              <c:f>[2]Summary!$T$7:$W$7</c:f>
              <c:numCache>
                <c:formatCode>General</c:formatCode>
                <c:ptCount val="4"/>
                <c:pt idx="0">
                  <c:v>0.61</c:v>
                </c:pt>
                <c:pt idx="1">
                  <c:v>0.55333333333333334</c:v>
                </c:pt>
                <c:pt idx="2">
                  <c:v>0.40333333333333332</c:v>
                </c:pt>
                <c:pt idx="3">
                  <c:v>0.12002539976536358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AE-F440-936E-025F17182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026080"/>
        <c:axId val="1811224080"/>
      </c:scatterChart>
      <c:valAx>
        <c:axId val="1811026080"/>
        <c:scaling>
          <c:orientation val="minMax"/>
          <c:max val="3.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Time at 25 uM Cu (h)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1224080"/>
        <c:crosses val="autoZero"/>
        <c:crossBetween val="midCat"/>
      </c:valAx>
      <c:valAx>
        <c:axId val="181122408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Photosynthetic capcity (YII)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102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77755905511806"/>
          <c:y val="1.9426217556139031E-3"/>
          <c:w val="0.18401702680920207"/>
          <c:h val="0.52945446741272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[2]Summary!$S$9</c:f>
              <c:strCache>
                <c:ptCount val="1"/>
                <c:pt idx="0">
                  <c:v>RO5 Cu t3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[2]Summary!$T$15:$W$15</c:f>
              <c:numCache>
                <c:formatCode>General</c:formatCode>
                <c:ptCount val="4"/>
                <c:pt idx="0">
                  <c:v>0</c:v>
                </c:pt>
                <c:pt idx="1">
                  <c:v>0.46597222222222312</c:v>
                </c:pt>
                <c:pt idx="2">
                  <c:v>1.1413888888888897</c:v>
                </c:pt>
                <c:pt idx="3">
                  <c:v>2.8963888888888896</c:v>
                </c:pt>
              </c:numCache>
            </c:numRef>
          </c:xVal>
          <c:yVal>
            <c:numRef>
              <c:f>[2]Summary!$T$9:$W$9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00-FF42-AB43-55D9C5735145}"/>
            </c:ext>
          </c:extLst>
        </c:ser>
        <c:ser>
          <c:idx val="1"/>
          <c:order val="1"/>
          <c:tx>
            <c:strRef>
              <c:f>[2]Summary!$S$10</c:f>
              <c:strCache>
                <c:ptCount val="1"/>
                <c:pt idx="0">
                  <c:v>RO5 Cu t21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dash"/>
              </a:ln>
              <a:effectLst/>
            </c:spPr>
          </c:marker>
          <c:xVal>
            <c:numRef>
              <c:f>[2]Summary!$T$16:$W$16</c:f>
              <c:numCache>
                <c:formatCode>General</c:formatCode>
                <c:ptCount val="4"/>
                <c:pt idx="0">
                  <c:v>0</c:v>
                </c:pt>
                <c:pt idx="1">
                  <c:v>0.46968749999999948</c:v>
                </c:pt>
                <c:pt idx="2">
                  <c:v>1.1949999999999996</c:v>
                </c:pt>
                <c:pt idx="3">
                  <c:v>3.2830902777777773</c:v>
                </c:pt>
              </c:numCache>
            </c:numRef>
          </c:xVal>
          <c:yVal>
            <c:numRef>
              <c:f>[2]Summary!$T$10:$W$10</c:f>
              <c:numCache>
                <c:formatCode>General</c:formatCode>
                <c:ptCount val="4"/>
                <c:pt idx="0">
                  <c:v>0.61</c:v>
                </c:pt>
                <c:pt idx="1">
                  <c:v>0.59</c:v>
                </c:pt>
                <c:pt idx="2">
                  <c:v>0.5</c:v>
                </c:pt>
                <c:pt idx="3">
                  <c:v>0.40058479532163743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00-FF42-AB43-55D9C5735145}"/>
            </c:ext>
          </c:extLst>
        </c:ser>
        <c:ser>
          <c:idx val="2"/>
          <c:order val="2"/>
          <c:tx>
            <c:strRef>
              <c:f>[2]Summary!$S$11</c:f>
              <c:strCache>
                <c:ptCount val="1"/>
                <c:pt idx="0">
                  <c:v>RO5 Cu t39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[2]Summary!$T$17:$W$17</c:f>
              <c:numCache>
                <c:formatCode>General</c:formatCode>
                <c:ptCount val="4"/>
                <c:pt idx="0">
                  <c:v>0</c:v>
                </c:pt>
                <c:pt idx="1">
                  <c:v>0.36993055555555598</c:v>
                </c:pt>
                <c:pt idx="2">
                  <c:v>1.0937847222222228</c:v>
                </c:pt>
                <c:pt idx="3">
                  <c:v>2.7832638888888894</c:v>
                </c:pt>
              </c:numCache>
            </c:numRef>
          </c:xVal>
          <c:yVal>
            <c:numRef>
              <c:f>[2]Summary!$T$11:$W$11</c:f>
              <c:numCache>
                <c:formatCode>General</c:formatCode>
                <c:ptCount val="4"/>
                <c:pt idx="0">
                  <c:v>0.61</c:v>
                </c:pt>
                <c:pt idx="1">
                  <c:v>0.55000000000000004</c:v>
                </c:pt>
                <c:pt idx="2">
                  <c:v>0.51</c:v>
                </c:pt>
                <c:pt idx="3">
                  <c:v>0.35883905013192613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00-FF42-AB43-55D9C5735145}"/>
            </c:ext>
          </c:extLst>
        </c:ser>
        <c:ser>
          <c:idx val="3"/>
          <c:order val="3"/>
          <c:tx>
            <c:strRef>
              <c:f>[2]Summary!$S$12</c:f>
              <c:strCache>
                <c:ptCount val="1"/>
                <c:pt idx="0">
                  <c:v>RO5 C t3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[2]Summary!$T$15:$W$15</c:f>
              <c:numCache>
                <c:formatCode>General</c:formatCode>
                <c:ptCount val="4"/>
                <c:pt idx="0">
                  <c:v>0</c:v>
                </c:pt>
                <c:pt idx="1">
                  <c:v>0.46597222222222312</c:v>
                </c:pt>
                <c:pt idx="2">
                  <c:v>1.1413888888888897</c:v>
                </c:pt>
                <c:pt idx="3">
                  <c:v>2.8963888888888896</c:v>
                </c:pt>
              </c:numCache>
            </c:numRef>
          </c:xVal>
          <c:yVal>
            <c:numRef>
              <c:f>[2]Summary!$T$12:$W$12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00-FF42-AB43-55D9C5735145}"/>
            </c:ext>
          </c:extLst>
        </c:ser>
        <c:ser>
          <c:idx val="4"/>
          <c:order val="4"/>
          <c:tx>
            <c:strRef>
              <c:f>[2]Summary!$S$13</c:f>
              <c:strCache>
                <c:ptCount val="1"/>
                <c:pt idx="0">
                  <c:v>RO5 C t21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dash"/>
              </a:ln>
              <a:effectLst/>
            </c:spPr>
          </c:marker>
          <c:xVal>
            <c:numRef>
              <c:f>[2]Summary!$T$16:$W$16</c:f>
              <c:numCache>
                <c:formatCode>General</c:formatCode>
                <c:ptCount val="4"/>
                <c:pt idx="0">
                  <c:v>0</c:v>
                </c:pt>
                <c:pt idx="1">
                  <c:v>0.46968749999999948</c:v>
                </c:pt>
                <c:pt idx="2">
                  <c:v>1.1949999999999996</c:v>
                </c:pt>
                <c:pt idx="3">
                  <c:v>3.2830902777777773</c:v>
                </c:pt>
              </c:numCache>
            </c:numRef>
          </c:xVal>
          <c:yVal>
            <c:numRef>
              <c:f>[2]Summary!$T$13:$W$13</c:f>
              <c:numCache>
                <c:formatCode>General</c:formatCode>
                <c:ptCount val="4"/>
                <c:pt idx="0">
                  <c:v>0.61</c:v>
                </c:pt>
                <c:pt idx="1">
                  <c:v>0.44</c:v>
                </c:pt>
                <c:pt idx="2">
                  <c:v>0.23</c:v>
                </c:pt>
                <c:pt idx="3">
                  <c:v>9.8379629629629636E-2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00-FF42-AB43-55D9C5735145}"/>
            </c:ext>
          </c:extLst>
        </c:ser>
        <c:ser>
          <c:idx val="5"/>
          <c:order val="5"/>
          <c:tx>
            <c:strRef>
              <c:f>[2]Summary!$S$14</c:f>
              <c:strCache>
                <c:ptCount val="1"/>
                <c:pt idx="0">
                  <c:v>RO5 C t39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[2]Summary!$T$17:$W$17</c:f>
              <c:numCache>
                <c:formatCode>General</c:formatCode>
                <c:ptCount val="4"/>
                <c:pt idx="0">
                  <c:v>0</c:v>
                </c:pt>
                <c:pt idx="1">
                  <c:v>0.36993055555555598</c:v>
                </c:pt>
                <c:pt idx="2">
                  <c:v>1.0937847222222228</c:v>
                </c:pt>
                <c:pt idx="3">
                  <c:v>2.7832638888888894</c:v>
                </c:pt>
              </c:numCache>
            </c:numRef>
          </c:xVal>
          <c:yVal>
            <c:numRef>
              <c:f>[2]Summary!$T$14:$W$14</c:f>
              <c:numCache>
                <c:formatCode>General</c:formatCode>
                <c:ptCount val="4"/>
                <c:pt idx="0">
                  <c:v>0.61</c:v>
                </c:pt>
                <c:pt idx="1">
                  <c:v>0.54</c:v>
                </c:pt>
                <c:pt idx="2">
                  <c:v>0.39</c:v>
                </c:pt>
                <c:pt idx="3">
                  <c:v>0.12883435582822086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600-FF42-AB43-55D9C5735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026080"/>
        <c:axId val="1811224080"/>
      </c:scatterChart>
      <c:valAx>
        <c:axId val="1811026080"/>
        <c:scaling>
          <c:orientation val="minMax"/>
          <c:max val="3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Time at 5 uM Cu (h)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1224080"/>
        <c:crosses val="autoZero"/>
        <c:crossBetween val="midCat"/>
      </c:valAx>
      <c:valAx>
        <c:axId val="1811224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Photosynthetic capcity (YII)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102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611089238845149"/>
          <c:y val="1.9426217556139031E-3"/>
          <c:w val="0.27629221347331578"/>
          <c:h val="0.53599081364829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Loss of photosynthetic</a:t>
            </a:r>
            <a:r>
              <a:rPr lang="sv-SE" baseline="0"/>
              <a:t> capcaity under Cu stress</a:t>
            </a:r>
            <a:endParaRPr lang="sv-S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[2]Summary!$BI$2</c:f>
              <c:strCache>
                <c:ptCount val="1"/>
                <c:pt idx="0">
                  <c:v>Control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errBars>
            <c:errBarType val="minus"/>
            <c:errValType val="cust"/>
            <c:noEndCap val="0"/>
            <c:plus>
              <c:numRef>
                <c:f>[2]Summary!$BN$2:$BP$2</c:f>
                <c:numCache>
                  <c:formatCode>General</c:formatCode>
                  <c:ptCount val="3"/>
                  <c:pt idx="0">
                    <c:v>1.9513929767624328E-2</c:v>
                  </c:pt>
                  <c:pt idx="1">
                    <c:v>1.2477973135794466E-2</c:v>
                  </c:pt>
                  <c:pt idx="2">
                    <c:v>1.3152306714979412E-3</c:v>
                  </c:pt>
                </c:numCache>
              </c:numRef>
            </c:plus>
            <c:minus>
              <c:numRef>
                <c:f>[2]Summary!$BN$2:$BP$2</c:f>
                <c:numCache>
                  <c:formatCode>General</c:formatCode>
                  <c:ptCount val="3"/>
                  <c:pt idx="0">
                    <c:v>1.9513929767624328E-2</c:v>
                  </c:pt>
                  <c:pt idx="1">
                    <c:v>1.2477973135794466E-2</c:v>
                  </c:pt>
                  <c:pt idx="2">
                    <c:v>1.3152306714979412E-3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[2]Summary!$BJ$1:$BL$1</c:f>
              <c:strCache>
                <c:ptCount val="3"/>
                <c:pt idx="0">
                  <c:v>t3</c:v>
                </c:pt>
                <c:pt idx="1">
                  <c:v>t21</c:v>
                </c:pt>
                <c:pt idx="2">
                  <c:v>t38</c:v>
                </c:pt>
              </c:strCache>
            </c:strRef>
          </c:cat>
          <c:val>
            <c:numRef>
              <c:f>[2]Summary!$BJ$2:$BL$2</c:f>
              <c:numCache>
                <c:formatCode>General</c:formatCode>
                <c:ptCount val="3"/>
                <c:pt idx="0">
                  <c:v>-0.18090070628542676</c:v>
                </c:pt>
                <c:pt idx="1">
                  <c:v>-0.16906625491997207</c:v>
                </c:pt>
                <c:pt idx="2">
                  <c:v>-0.18439173639100756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1A-5F44-B97E-F3AD88686BB6}"/>
            </c:ext>
          </c:extLst>
        </c:ser>
        <c:ser>
          <c:idx val="1"/>
          <c:order val="1"/>
          <c:tx>
            <c:strRef>
              <c:f>[2]Summary!$BI$3</c:f>
              <c:strCache>
                <c:ptCount val="1"/>
                <c:pt idx="0">
                  <c:v>Cu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minus"/>
            <c:errValType val="cust"/>
            <c:noEndCap val="0"/>
            <c:plus>
              <c:numRef>
                <c:f>[2]Summary!$BN$3:$BP$3</c:f>
                <c:numCache>
                  <c:formatCode>General</c:formatCode>
                  <c:ptCount val="3"/>
                  <c:pt idx="0">
                    <c:v>1.0105106130190854E-3</c:v>
                  </c:pt>
                  <c:pt idx="1">
                    <c:v>2.2525950571032159E-2</c:v>
                  </c:pt>
                  <c:pt idx="2">
                    <c:v>2.461762717581881E-2</c:v>
                  </c:pt>
                </c:numCache>
              </c:numRef>
            </c:plus>
            <c:minus>
              <c:numRef>
                <c:f>[2]Summary!$BN$3:$BP$3</c:f>
                <c:numCache>
                  <c:formatCode>General</c:formatCode>
                  <c:ptCount val="3"/>
                  <c:pt idx="0">
                    <c:v>1.0105106130190854E-3</c:v>
                  </c:pt>
                  <c:pt idx="1">
                    <c:v>2.2525950571032159E-2</c:v>
                  </c:pt>
                  <c:pt idx="2">
                    <c:v>2.461762717581881E-2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[2]Summary!$BJ$1:$BL$1</c:f>
              <c:strCache>
                <c:ptCount val="3"/>
                <c:pt idx="0">
                  <c:v>t3</c:v>
                </c:pt>
                <c:pt idx="1">
                  <c:v>t21</c:v>
                </c:pt>
                <c:pt idx="2">
                  <c:v>t38</c:v>
                </c:pt>
              </c:strCache>
            </c:strRef>
          </c:cat>
          <c:val>
            <c:numRef>
              <c:f>[2]Summary!$BJ$3:$BL$3</c:f>
              <c:numCache>
                <c:formatCode>General</c:formatCode>
                <c:ptCount val="3"/>
                <c:pt idx="0">
                  <c:v>-0.16491152459768962</c:v>
                </c:pt>
                <c:pt idx="1">
                  <c:v>-0.10021911380655948</c:v>
                </c:pt>
                <c:pt idx="2">
                  <c:v>-0.12586546640546489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1A-5F44-B97E-F3AD88686BB6}"/>
            </c:ext>
          </c:extLst>
        </c:ser>
        <c:ser>
          <c:idx val="2"/>
          <c:order val="2"/>
          <c:tx>
            <c:strRef>
              <c:f>[2]Summary!$BI$4</c:f>
              <c:strCache>
                <c:ptCount val="1"/>
                <c:pt idx="0">
                  <c:v>RO5_C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[2]Summary!$BJ$1:$BL$1</c:f>
              <c:strCache>
                <c:ptCount val="3"/>
                <c:pt idx="0">
                  <c:v>t3</c:v>
                </c:pt>
                <c:pt idx="1">
                  <c:v>t21</c:v>
                </c:pt>
                <c:pt idx="2">
                  <c:v>t38</c:v>
                </c:pt>
              </c:strCache>
            </c:strRef>
          </c:cat>
          <c:val>
            <c:numRef>
              <c:f>[2]Summary!$BJ$4:$BL$4</c:f>
              <c:numCache>
                <c:formatCode>General</c:formatCode>
                <c:ptCount val="3"/>
                <c:pt idx="1">
                  <c:v>-0.1284824329988872</c:v>
                </c:pt>
                <c:pt idx="2">
                  <c:v>-0.16600397800323305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1A-5F44-B97E-F3AD88686BB6}"/>
            </c:ext>
          </c:extLst>
        </c:ser>
        <c:ser>
          <c:idx val="3"/>
          <c:order val="3"/>
          <c:tx>
            <c:strRef>
              <c:f>[2]Summary!$BI$5</c:f>
              <c:strCache>
                <c:ptCount val="1"/>
                <c:pt idx="0">
                  <c:v>RO5_Cu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[2]Summary!$BJ$1:$BL$1</c:f>
              <c:strCache>
                <c:ptCount val="3"/>
                <c:pt idx="0">
                  <c:v>t3</c:v>
                </c:pt>
                <c:pt idx="1">
                  <c:v>t21</c:v>
                </c:pt>
                <c:pt idx="2">
                  <c:v>t38</c:v>
                </c:pt>
              </c:strCache>
            </c:strRef>
          </c:cat>
          <c:val>
            <c:numRef>
              <c:f>[2]Summary!$BJ$5:$BL$5</c:f>
              <c:numCache>
                <c:formatCode>General</c:formatCode>
                <c:ptCount val="3"/>
                <c:pt idx="1">
                  <c:v>-6.0520749592279696E-2</c:v>
                </c:pt>
                <c:pt idx="2">
                  <c:v>-7.8693079505354285E-2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1A-5F44-B97E-F3AD88686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052271"/>
        <c:axId val="1634081935"/>
      </c:barChart>
      <c:catAx>
        <c:axId val="163405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34081935"/>
        <c:crosses val="autoZero"/>
        <c:auto val="1"/>
        <c:lblAlgn val="ctr"/>
        <c:lblOffset val="100"/>
        <c:noMultiLvlLbl val="0"/>
      </c:catAx>
      <c:valAx>
        <c:axId val="163408193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Loss of Y(II) [h-1]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3405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Loss of photosynthetic capacity under Cu stress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[2]Summary!$BI$7</c:f>
              <c:strCache>
                <c:ptCount val="1"/>
                <c:pt idx="0">
                  <c:v>Control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[2]Summary!$BN$2:$BP$2</c:f>
                <c:numCache>
                  <c:formatCode>General</c:formatCode>
                  <c:ptCount val="3"/>
                  <c:pt idx="0">
                    <c:v>1.9513929767624328E-2</c:v>
                  </c:pt>
                  <c:pt idx="1">
                    <c:v>1.2477973135794466E-2</c:v>
                  </c:pt>
                  <c:pt idx="2">
                    <c:v>1.3152306714979412E-3</c:v>
                  </c:pt>
                </c:numCache>
              </c:numRef>
            </c:plus>
            <c:minus>
              <c:numRef>
                <c:f>[2]Summary!$BN$2:$BP$2</c:f>
                <c:numCache>
                  <c:formatCode>General</c:formatCode>
                  <c:ptCount val="3"/>
                  <c:pt idx="0">
                    <c:v>1.9513929767624328E-2</c:v>
                  </c:pt>
                  <c:pt idx="1">
                    <c:v>1.2477973135794466E-2</c:v>
                  </c:pt>
                  <c:pt idx="2">
                    <c:v>1.3152306714979412E-3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[2]Summary!$BJ$1:$BL$1</c:f>
              <c:strCache>
                <c:ptCount val="3"/>
                <c:pt idx="0">
                  <c:v>t3</c:v>
                </c:pt>
                <c:pt idx="1">
                  <c:v>t21</c:v>
                </c:pt>
                <c:pt idx="2">
                  <c:v>t38</c:v>
                </c:pt>
              </c:strCache>
            </c:strRef>
          </c:cat>
          <c:val>
            <c:numRef>
              <c:f>[2]Summary!$BJ$7:$BL$7</c:f>
              <c:numCache>
                <c:formatCode>General</c:formatCode>
                <c:ptCount val="3"/>
                <c:pt idx="0">
                  <c:v>0.29655853489414224</c:v>
                </c:pt>
                <c:pt idx="1">
                  <c:v>0.27715779495077392</c:v>
                </c:pt>
                <c:pt idx="2">
                  <c:v>0.30228153506722549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7C-C349-9EC6-32DEF0C610A5}"/>
            </c:ext>
          </c:extLst>
        </c:ser>
        <c:ser>
          <c:idx val="1"/>
          <c:order val="1"/>
          <c:tx>
            <c:strRef>
              <c:f>[2]Summary!$BI$8</c:f>
              <c:strCache>
                <c:ptCount val="1"/>
                <c:pt idx="0">
                  <c:v>Cu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[2]Summary!$BN$3:$BP$3</c:f>
                <c:numCache>
                  <c:formatCode>General</c:formatCode>
                  <c:ptCount val="3"/>
                  <c:pt idx="0">
                    <c:v>1.0105106130190854E-3</c:v>
                  </c:pt>
                  <c:pt idx="1">
                    <c:v>2.2525950571032159E-2</c:v>
                  </c:pt>
                  <c:pt idx="2">
                    <c:v>2.461762717581881E-2</c:v>
                  </c:pt>
                </c:numCache>
              </c:numRef>
            </c:plus>
            <c:minus>
              <c:numRef>
                <c:f>[2]Summary!$BN$3:$BP$3</c:f>
                <c:numCache>
                  <c:formatCode>General</c:formatCode>
                  <c:ptCount val="3"/>
                  <c:pt idx="0">
                    <c:v>1.0105106130190854E-3</c:v>
                  </c:pt>
                  <c:pt idx="1">
                    <c:v>2.2525950571032159E-2</c:v>
                  </c:pt>
                  <c:pt idx="2">
                    <c:v>2.461762717581881E-2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[2]Summary!$BJ$1:$BL$1</c:f>
              <c:strCache>
                <c:ptCount val="3"/>
                <c:pt idx="0">
                  <c:v>t3</c:v>
                </c:pt>
                <c:pt idx="1">
                  <c:v>t21</c:v>
                </c:pt>
                <c:pt idx="2">
                  <c:v>t38</c:v>
                </c:pt>
              </c:strCache>
            </c:strRef>
          </c:cat>
          <c:val>
            <c:numRef>
              <c:f>[2]Summary!$BJ$8:$BL$8</c:f>
              <c:numCache>
                <c:formatCode>General</c:formatCode>
                <c:ptCount val="3"/>
                <c:pt idx="0">
                  <c:v>0.27034676163555676</c:v>
                </c:pt>
                <c:pt idx="1">
                  <c:v>0.16429362919108112</c:v>
                </c:pt>
                <c:pt idx="2">
                  <c:v>0.20633683017289328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7C-C349-9EC6-32DEF0C610A5}"/>
            </c:ext>
          </c:extLst>
        </c:ser>
        <c:ser>
          <c:idx val="2"/>
          <c:order val="2"/>
          <c:tx>
            <c:strRef>
              <c:f>[2]Summary!$BI$9</c:f>
              <c:strCache>
                <c:ptCount val="1"/>
                <c:pt idx="0">
                  <c:v>RO5_C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[2]Summary!$BJ$1:$BL$1</c:f>
              <c:strCache>
                <c:ptCount val="3"/>
                <c:pt idx="0">
                  <c:v>t3</c:v>
                </c:pt>
                <c:pt idx="1">
                  <c:v>t21</c:v>
                </c:pt>
                <c:pt idx="2">
                  <c:v>t38</c:v>
                </c:pt>
              </c:strCache>
            </c:strRef>
          </c:cat>
          <c:val>
            <c:numRef>
              <c:f>[2]Summary!$BJ$9:$BL$9</c:f>
              <c:numCache>
                <c:formatCode>General</c:formatCode>
                <c:ptCount val="3"/>
                <c:pt idx="0">
                  <c:v>0</c:v>
                </c:pt>
                <c:pt idx="1">
                  <c:v>0.21062693934243804</c:v>
                </c:pt>
                <c:pt idx="2">
                  <c:v>0.27213766885775909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7C-C349-9EC6-32DEF0C610A5}"/>
            </c:ext>
          </c:extLst>
        </c:ser>
        <c:ser>
          <c:idx val="3"/>
          <c:order val="3"/>
          <c:tx>
            <c:strRef>
              <c:f>[2]Summary!$BI$10</c:f>
              <c:strCache>
                <c:ptCount val="1"/>
                <c:pt idx="0">
                  <c:v>RO5_Cu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[2]Summary!$BJ$1:$BL$1</c:f>
              <c:strCache>
                <c:ptCount val="3"/>
                <c:pt idx="0">
                  <c:v>t3</c:v>
                </c:pt>
                <c:pt idx="1">
                  <c:v>t21</c:v>
                </c:pt>
                <c:pt idx="2">
                  <c:v>t38</c:v>
                </c:pt>
              </c:strCache>
            </c:strRef>
          </c:cat>
          <c:val>
            <c:numRef>
              <c:f>[2]Summary!$BJ$10:$BL$10</c:f>
              <c:numCache>
                <c:formatCode>General</c:formatCode>
                <c:ptCount val="3"/>
                <c:pt idx="0">
                  <c:v>0</c:v>
                </c:pt>
                <c:pt idx="1">
                  <c:v>9.9214343593901147E-2</c:v>
                </c:pt>
                <c:pt idx="2">
                  <c:v>0.12900504836943325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7C-C349-9EC6-32DEF0C61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052271"/>
        <c:axId val="1634081935"/>
      </c:barChart>
      <c:catAx>
        <c:axId val="163405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34081935"/>
        <c:crosses val="autoZero"/>
        <c:auto val="1"/>
        <c:lblAlgn val="ctr"/>
        <c:lblOffset val="100"/>
        <c:noMultiLvlLbl val="0"/>
      </c:catAx>
      <c:valAx>
        <c:axId val="163408193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Loss of Y(II) [fraction h-1]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3405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GP</a:t>
            </a:r>
          </a:p>
        </c:rich>
      </c:tx>
      <c:layout>
        <c:manualLayout>
          <c:xMode val="edge"/>
          <c:yMode val="edge"/>
          <c:x val="0.17596141026135834"/>
          <c:y val="6.47667544501874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0.16275035286012646"/>
          <c:y val="4.9894563500342763E-2"/>
          <c:w val="0.80073836626365202"/>
          <c:h val="0.77715259550889504"/>
        </c:manualLayout>
      </c:layout>
      <c:scatterChart>
        <c:scatterStyle val="lineMarker"/>
        <c:varyColors val="0"/>
        <c:ser>
          <c:idx val="0"/>
          <c:order val="0"/>
          <c:tx>
            <c:v>Control</c:v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75000"/>
                  <a:lumOff val="25000"/>
                </a:schemeClr>
              </a:solidFill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[3]Summary!$E$73:$R$73</c:f>
                <c:numCache>
                  <c:formatCode>General</c:formatCode>
                  <c:ptCount val="14"/>
                  <c:pt idx="0">
                    <c:v>6.1032720321085129E-2</c:v>
                  </c:pt>
                  <c:pt idx="1">
                    <c:v>3.9847960514201128E-2</c:v>
                  </c:pt>
                  <c:pt idx="2">
                    <c:v>7.0513514740449479E-2</c:v>
                  </c:pt>
                  <c:pt idx="3">
                    <c:v>4.6742769338980437E-2</c:v>
                  </c:pt>
                  <c:pt idx="4">
                    <c:v>4.7367467217880647E-2</c:v>
                  </c:pt>
                  <c:pt idx="5">
                    <c:v>4.8826219239975072E-2</c:v>
                  </c:pt>
                  <c:pt idx="6">
                    <c:v>7.2506814101923694E-2</c:v>
                  </c:pt>
                  <c:pt idx="7">
                    <c:v>8.5775933829869686E-2</c:v>
                  </c:pt>
                  <c:pt idx="8">
                    <c:v>4.5634576063088815E-2</c:v>
                  </c:pt>
                  <c:pt idx="9">
                    <c:v>6.5140375040587464E-2</c:v>
                  </c:pt>
                  <c:pt idx="10">
                    <c:v>6.0331726244282416E-2</c:v>
                  </c:pt>
                  <c:pt idx="11">
                    <c:v>9.6710978661392014E-2</c:v>
                  </c:pt>
                  <c:pt idx="12">
                    <c:v>4.7370482508478126E-2</c:v>
                  </c:pt>
                  <c:pt idx="13">
                    <c:v>2.0382416531117557E-2</c:v>
                  </c:pt>
                </c:numCache>
              </c:numRef>
            </c:plus>
            <c:minus>
              <c:numRef>
                <c:f>[3]Summary!$E$73:$R$73</c:f>
                <c:numCache>
                  <c:formatCode>General</c:formatCode>
                  <c:ptCount val="14"/>
                  <c:pt idx="0">
                    <c:v>6.1032720321085129E-2</c:v>
                  </c:pt>
                  <c:pt idx="1">
                    <c:v>3.9847960514201128E-2</c:v>
                  </c:pt>
                  <c:pt idx="2">
                    <c:v>7.0513514740449479E-2</c:v>
                  </c:pt>
                  <c:pt idx="3">
                    <c:v>4.6742769338980437E-2</c:v>
                  </c:pt>
                  <c:pt idx="4">
                    <c:v>4.7367467217880647E-2</c:v>
                  </c:pt>
                  <c:pt idx="5">
                    <c:v>4.8826219239975072E-2</c:v>
                  </c:pt>
                  <c:pt idx="6">
                    <c:v>7.2506814101923694E-2</c:v>
                  </c:pt>
                  <c:pt idx="7">
                    <c:v>8.5775933829869686E-2</c:v>
                  </c:pt>
                  <c:pt idx="8">
                    <c:v>4.5634576063088815E-2</c:v>
                  </c:pt>
                  <c:pt idx="9">
                    <c:v>6.5140375040587464E-2</c:v>
                  </c:pt>
                  <c:pt idx="10">
                    <c:v>6.0331726244282416E-2</c:v>
                  </c:pt>
                  <c:pt idx="11">
                    <c:v>9.6710978661392014E-2</c:v>
                  </c:pt>
                  <c:pt idx="12">
                    <c:v>4.7370482508478126E-2</c:v>
                  </c:pt>
                  <c:pt idx="13">
                    <c:v>2.0382416531117557E-2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[3]Summary!$E$54:$Q$54</c:f>
              <c:numCache>
                <c:formatCode>General</c:formatCode>
                <c:ptCount val="13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  <c:pt idx="9">
                  <c:v>28.5</c:v>
                </c:pt>
                <c:pt idx="10">
                  <c:v>31.5</c:v>
                </c:pt>
                <c:pt idx="11">
                  <c:v>34.5</c:v>
                </c:pt>
                <c:pt idx="12">
                  <c:v>37.5</c:v>
                </c:pt>
              </c:numCache>
            </c:numRef>
          </c:xVal>
          <c:yVal>
            <c:numRef>
              <c:f>[3]Summary!$E$68:$Q$68</c:f>
              <c:numCache>
                <c:formatCode>General</c:formatCode>
                <c:ptCount val="13"/>
                <c:pt idx="0">
                  <c:v>1.5803395195959402</c:v>
                </c:pt>
                <c:pt idx="1">
                  <c:v>1.727064662484753</c:v>
                </c:pt>
                <c:pt idx="2">
                  <c:v>1.7262210143457553</c:v>
                </c:pt>
                <c:pt idx="3">
                  <c:v>1.6288216930455335</c:v>
                </c:pt>
                <c:pt idx="4">
                  <c:v>1.822110687718844</c:v>
                </c:pt>
                <c:pt idx="5">
                  <c:v>1.8805276221558551</c:v>
                </c:pt>
                <c:pt idx="6">
                  <c:v>1.7641986534619789</c:v>
                </c:pt>
                <c:pt idx="7">
                  <c:v>1.9285797786856378</c:v>
                </c:pt>
                <c:pt idx="8">
                  <c:v>1.9488298848242085</c:v>
                </c:pt>
                <c:pt idx="9">
                  <c:v>1.9005473561974582</c:v>
                </c:pt>
                <c:pt idx="10">
                  <c:v>1.86915405385781</c:v>
                </c:pt>
                <c:pt idx="11">
                  <c:v>1.9072649818880361</c:v>
                </c:pt>
                <c:pt idx="12">
                  <c:v>1.8566205906179003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A-1B4C-AB2E-580992D2EBB8}"/>
            </c:ext>
          </c:extLst>
        </c:ser>
        <c:ser>
          <c:idx val="1"/>
          <c:order val="1"/>
          <c:tx>
            <c:v>Copper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[3]Summary!$E$74:$R$74</c:f>
                <c:numCache>
                  <c:formatCode>General</c:formatCode>
                  <c:ptCount val="14"/>
                  <c:pt idx="0">
                    <c:v>8.7966706843150666E-2</c:v>
                  </c:pt>
                  <c:pt idx="1">
                    <c:v>5.8832761429907898E-2</c:v>
                  </c:pt>
                  <c:pt idx="2">
                    <c:v>0.20480586645264329</c:v>
                  </c:pt>
                  <c:pt idx="3">
                    <c:v>0.21996725149478574</c:v>
                  </c:pt>
                  <c:pt idx="4">
                    <c:v>0.16873305455522475</c:v>
                  </c:pt>
                  <c:pt idx="5">
                    <c:v>0.12565516573720326</c:v>
                  </c:pt>
                  <c:pt idx="6">
                    <c:v>0.21443068091137374</c:v>
                  </c:pt>
                  <c:pt idx="7">
                    <c:v>0.13897853092138449</c:v>
                  </c:pt>
                  <c:pt idx="8">
                    <c:v>0.17646984248413788</c:v>
                  </c:pt>
                  <c:pt idx="9">
                    <c:v>0.21221664413175462</c:v>
                  </c:pt>
                  <c:pt idx="10">
                    <c:v>0.16140283451163182</c:v>
                  </c:pt>
                  <c:pt idx="11">
                    <c:v>0.24285552410219169</c:v>
                  </c:pt>
                  <c:pt idx="12">
                    <c:v>0.15181139797455506</c:v>
                  </c:pt>
                  <c:pt idx="13">
                    <c:v>0.1185264185745586</c:v>
                  </c:pt>
                </c:numCache>
              </c:numRef>
            </c:plus>
            <c:minus>
              <c:numRef>
                <c:f>[3]Summary!$E$74:$R$74</c:f>
                <c:numCache>
                  <c:formatCode>General</c:formatCode>
                  <c:ptCount val="14"/>
                  <c:pt idx="0">
                    <c:v>8.7966706843150666E-2</c:v>
                  </c:pt>
                  <c:pt idx="1">
                    <c:v>5.8832761429907898E-2</c:v>
                  </c:pt>
                  <c:pt idx="2">
                    <c:v>0.20480586645264329</c:v>
                  </c:pt>
                  <c:pt idx="3">
                    <c:v>0.21996725149478574</c:v>
                  </c:pt>
                  <c:pt idx="4">
                    <c:v>0.16873305455522475</c:v>
                  </c:pt>
                  <c:pt idx="5">
                    <c:v>0.12565516573720326</c:v>
                  </c:pt>
                  <c:pt idx="6">
                    <c:v>0.21443068091137374</c:v>
                  </c:pt>
                  <c:pt idx="7">
                    <c:v>0.13897853092138449</c:v>
                  </c:pt>
                  <c:pt idx="8">
                    <c:v>0.17646984248413788</c:v>
                  </c:pt>
                  <c:pt idx="9">
                    <c:v>0.21221664413175462</c:v>
                  </c:pt>
                  <c:pt idx="10">
                    <c:v>0.16140283451163182</c:v>
                  </c:pt>
                  <c:pt idx="11">
                    <c:v>0.24285552410219169</c:v>
                  </c:pt>
                  <c:pt idx="12">
                    <c:v>0.15181139797455506</c:v>
                  </c:pt>
                  <c:pt idx="13">
                    <c:v>0.1185264185745586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[3]Summary!$E$54:$Q$54</c:f>
              <c:numCache>
                <c:formatCode>General</c:formatCode>
                <c:ptCount val="13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  <c:pt idx="9">
                  <c:v>28.5</c:v>
                </c:pt>
                <c:pt idx="10">
                  <c:v>31.5</c:v>
                </c:pt>
                <c:pt idx="11">
                  <c:v>34.5</c:v>
                </c:pt>
                <c:pt idx="12">
                  <c:v>37.5</c:v>
                </c:pt>
              </c:numCache>
            </c:numRef>
          </c:xVal>
          <c:yVal>
            <c:numRef>
              <c:f>[3]Summary!$E$69:$Q$69</c:f>
              <c:numCache>
                <c:formatCode>General</c:formatCode>
                <c:ptCount val="13"/>
                <c:pt idx="0">
                  <c:v>0.70901677407127095</c:v>
                </c:pt>
                <c:pt idx="1">
                  <c:v>0.45963748676145688</c:v>
                </c:pt>
                <c:pt idx="2">
                  <c:v>0.42147097522001814</c:v>
                </c:pt>
                <c:pt idx="3">
                  <c:v>0.40767420825207468</c:v>
                </c:pt>
                <c:pt idx="4">
                  <c:v>1.3347607257037157</c:v>
                </c:pt>
                <c:pt idx="5">
                  <c:v>1.2170117882890381</c:v>
                </c:pt>
                <c:pt idx="6">
                  <c:v>0.97379136841637082</c:v>
                </c:pt>
                <c:pt idx="7">
                  <c:v>1.3663940330134428</c:v>
                </c:pt>
                <c:pt idx="8">
                  <c:v>1.2031548556529255</c:v>
                </c:pt>
                <c:pt idx="9">
                  <c:v>0.9050597159013567</c:v>
                </c:pt>
                <c:pt idx="10">
                  <c:v>0.9680246326337919</c:v>
                </c:pt>
                <c:pt idx="11">
                  <c:v>0.35811077539705566</c:v>
                </c:pt>
                <c:pt idx="12">
                  <c:v>1.3990490782090907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4A-1B4C-AB2E-580992D2EBB8}"/>
            </c:ext>
          </c:extLst>
        </c:ser>
        <c:ser>
          <c:idx val="2"/>
          <c:order val="2"/>
          <c:tx>
            <c:v>RO5_C</c:v>
          </c:tx>
          <c:spPr>
            <a:ln w="1905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ash"/>
              </a:ln>
              <a:effectLst/>
            </c:spPr>
          </c:marker>
          <c:xVal>
            <c:numRef>
              <c:f>[3]Summary!$E$54:$Q$54</c:f>
              <c:numCache>
                <c:formatCode>General</c:formatCode>
                <c:ptCount val="13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  <c:pt idx="9">
                  <c:v>28.5</c:v>
                </c:pt>
                <c:pt idx="10">
                  <c:v>31.5</c:v>
                </c:pt>
                <c:pt idx="11">
                  <c:v>34.5</c:v>
                </c:pt>
                <c:pt idx="12">
                  <c:v>37.5</c:v>
                </c:pt>
              </c:numCache>
            </c:numRef>
          </c:xVal>
          <c:yVal>
            <c:numRef>
              <c:f>[3]Summary!$E$70:$J$70</c:f>
              <c:numCache>
                <c:formatCode>General</c:formatCode>
                <c:ptCount val="6"/>
                <c:pt idx="0">
                  <c:v>1.4555829756001508</c:v>
                </c:pt>
                <c:pt idx="1">
                  <c:v>1.5070414053009304</c:v>
                </c:pt>
                <c:pt idx="2">
                  <c:v>1.8517622737120716</c:v>
                </c:pt>
                <c:pt idx="3">
                  <c:v>1.6500236624961999</c:v>
                </c:pt>
                <c:pt idx="4">
                  <c:v>1.6725566364600499</c:v>
                </c:pt>
                <c:pt idx="5">
                  <c:v>1.8640177840027485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4A-1B4C-AB2E-580992D2EBB8}"/>
            </c:ext>
          </c:extLst>
        </c:ser>
        <c:ser>
          <c:idx val="3"/>
          <c:order val="3"/>
          <c:tx>
            <c:v>RO5_Cu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[3]Summary!$E$54:$Q$54</c:f>
              <c:numCache>
                <c:formatCode>General</c:formatCode>
                <c:ptCount val="13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  <c:pt idx="9">
                  <c:v>28.5</c:v>
                </c:pt>
                <c:pt idx="10">
                  <c:v>31.5</c:v>
                </c:pt>
                <c:pt idx="11">
                  <c:v>34.5</c:v>
                </c:pt>
                <c:pt idx="12">
                  <c:v>37.5</c:v>
                </c:pt>
              </c:numCache>
            </c:numRef>
          </c:xVal>
          <c:yVal>
            <c:numRef>
              <c:f>[3]Summary!$E$71:$Q$71</c:f>
              <c:numCache>
                <c:formatCode>General</c:formatCode>
                <c:ptCount val="13"/>
                <c:pt idx="0">
                  <c:v>0.82414049165970982</c:v>
                </c:pt>
                <c:pt idx="1">
                  <c:v>0.6416255080736798</c:v>
                </c:pt>
                <c:pt idx="2">
                  <c:v>0.93103702511893482</c:v>
                </c:pt>
                <c:pt idx="3">
                  <c:v>0.65509181794972948</c:v>
                </c:pt>
                <c:pt idx="4">
                  <c:v>1.3377819883853024</c:v>
                </c:pt>
                <c:pt idx="5">
                  <c:v>1.5620589736946633</c:v>
                </c:pt>
                <c:pt idx="6">
                  <c:v>1.3021316681889314</c:v>
                </c:pt>
                <c:pt idx="7">
                  <c:v>1.4094043075919067</c:v>
                </c:pt>
                <c:pt idx="8">
                  <c:v>1.344165581667645</c:v>
                </c:pt>
                <c:pt idx="9">
                  <c:v>1.2870024385729621</c:v>
                </c:pt>
                <c:pt idx="10">
                  <c:v>0.93904572276896847</c:v>
                </c:pt>
                <c:pt idx="11">
                  <c:v>0.91424961880952405</c:v>
                </c:pt>
                <c:pt idx="12">
                  <c:v>1.3298282645667874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4A-1B4C-AB2E-580992D2E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344408"/>
        <c:axId val="-2094341688"/>
      </c:scatterChart>
      <c:valAx>
        <c:axId val="-2094344408"/>
        <c:scaling>
          <c:orientation val="minMax"/>
          <c:max val="4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-2094341688"/>
        <c:crosses val="autoZero"/>
        <c:crossBetween val="midCat"/>
        <c:majorUnit val="10"/>
      </c:valAx>
      <c:valAx>
        <c:axId val="-2094341688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Growth rate (days</a:t>
                </a:r>
                <a:r>
                  <a:rPr lang="sv-SE" baseline="30000"/>
                  <a:t>-1</a:t>
                </a:r>
                <a:r>
                  <a:rPr lang="sv-SE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-2094344408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5870035754006984"/>
          <c:y val="6.3822174922939331E-2"/>
          <c:w val="0.29033509202338181"/>
          <c:h val="0.242801052641230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sv-SE"/>
              <a:t>VG</a:t>
            </a:r>
          </a:p>
        </c:rich>
      </c:tx>
      <c:layout>
        <c:manualLayout>
          <c:xMode val="edge"/>
          <c:yMode val="edge"/>
          <c:x val="0.12862629165054981"/>
          <c:y val="4.98281572916863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0.1234566195747607"/>
          <c:y val="3.1117819289873398E-2"/>
          <c:w val="0.83815479369991164"/>
          <c:h val="0.77715255368905745"/>
        </c:manualLayout>
      </c:layout>
      <c:scatterChart>
        <c:scatterStyle val="lineMarker"/>
        <c:varyColors val="0"/>
        <c:ser>
          <c:idx val="0"/>
          <c:order val="0"/>
          <c:tx>
            <c:v>Control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[4]Summary!$E$73:$R$73</c:f>
                <c:numCache>
                  <c:formatCode>General</c:formatCode>
                  <c:ptCount val="14"/>
                  <c:pt idx="0">
                    <c:v>5.2533431896057976E-2</c:v>
                  </c:pt>
                  <c:pt idx="1">
                    <c:v>8.9936273781582532E-2</c:v>
                  </c:pt>
                  <c:pt idx="2">
                    <c:v>0.15725344832627461</c:v>
                  </c:pt>
                  <c:pt idx="3">
                    <c:v>1.6553581352581895E-2</c:v>
                  </c:pt>
                  <c:pt idx="4">
                    <c:v>7.175714969465187E-2</c:v>
                  </c:pt>
                  <c:pt idx="5">
                    <c:v>5.0957187972952692E-2</c:v>
                  </c:pt>
                  <c:pt idx="6">
                    <c:v>4.9135592567129134E-2</c:v>
                  </c:pt>
                  <c:pt idx="7">
                    <c:v>5.0050696076888959E-2</c:v>
                  </c:pt>
                  <c:pt idx="8">
                    <c:v>6.8405084979005187E-2</c:v>
                  </c:pt>
                  <c:pt idx="9">
                    <c:v>4.0782614106876391E-2</c:v>
                  </c:pt>
                  <c:pt idx="10">
                    <c:v>7.4260960245244437E-2</c:v>
                  </c:pt>
                  <c:pt idx="11">
                    <c:v>4.0328037979756759E-2</c:v>
                  </c:pt>
                  <c:pt idx="12">
                    <c:v>2.7046562330842953E-2</c:v>
                  </c:pt>
                  <c:pt idx="13">
                    <c:v>6.3434146548568215E-2</c:v>
                  </c:pt>
                </c:numCache>
              </c:numRef>
            </c:plus>
            <c:minus>
              <c:numRef>
                <c:f>[4]Summary!$E$73:$R$73</c:f>
                <c:numCache>
                  <c:formatCode>General</c:formatCode>
                  <c:ptCount val="14"/>
                  <c:pt idx="0">
                    <c:v>5.2533431896057976E-2</c:v>
                  </c:pt>
                  <c:pt idx="1">
                    <c:v>8.9936273781582532E-2</c:v>
                  </c:pt>
                  <c:pt idx="2">
                    <c:v>0.15725344832627461</c:v>
                  </c:pt>
                  <c:pt idx="3">
                    <c:v>1.6553581352581895E-2</c:v>
                  </c:pt>
                  <c:pt idx="4">
                    <c:v>7.175714969465187E-2</c:v>
                  </c:pt>
                  <c:pt idx="5">
                    <c:v>5.0957187972952692E-2</c:v>
                  </c:pt>
                  <c:pt idx="6">
                    <c:v>4.9135592567129134E-2</c:v>
                  </c:pt>
                  <c:pt idx="7">
                    <c:v>5.0050696076888959E-2</c:v>
                  </c:pt>
                  <c:pt idx="8">
                    <c:v>6.8405084979005187E-2</c:v>
                  </c:pt>
                  <c:pt idx="9">
                    <c:v>4.0782614106876391E-2</c:v>
                  </c:pt>
                  <c:pt idx="10">
                    <c:v>7.4260960245244437E-2</c:v>
                  </c:pt>
                  <c:pt idx="11">
                    <c:v>4.0328037979756759E-2</c:v>
                  </c:pt>
                  <c:pt idx="12">
                    <c:v>2.7046562330842953E-2</c:v>
                  </c:pt>
                  <c:pt idx="13">
                    <c:v>6.3434146548568215E-2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[4]Summary!$E$54:$R$54</c:f>
              <c:numCache>
                <c:formatCode>General</c:formatCode>
                <c:ptCount val="14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  <c:pt idx="9">
                  <c:v>28.5</c:v>
                </c:pt>
                <c:pt idx="10">
                  <c:v>31.5</c:v>
                </c:pt>
                <c:pt idx="11">
                  <c:v>34.5</c:v>
                </c:pt>
                <c:pt idx="12">
                  <c:v>37.5</c:v>
                </c:pt>
                <c:pt idx="13">
                  <c:v>40.5</c:v>
                </c:pt>
              </c:numCache>
            </c:numRef>
          </c:xVal>
          <c:yVal>
            <c:numRef>
              <c:f>[4]Summary!$E$68:$R$68</c:f>
              <c:numCache>
                <c:formatCode>General</c:formatCode>
                <c:ptCount val="14"/>
                <c:pt idx="0">
                  <c:v>1.7285102381693676</c:v>
                </c:pt>
                <c:pt idx="1">
                  <c:v>1.6263872753866775</c:v>
                </c:pt>
                <c:pt idx="2">
                  <c:v>1.881211577960888</c:v>
                </c:pt>
                <c:pt idx="3">
                  <c:v>1.6003373625822916</c:v>
                </c:pt>
                <c:pt idx="4">
                  <c:v>1.7936164433340216</c:v>
                </c:pt>
                <c:pt idx="5">
                  <c:v>1.949898485921493</c:v>
                </c:pt>
                <c:pt idx="6">
                  <c:v>1.7267453645226305</c:v>
                </c:pt>
                <c:pt idx="7">
                  <c:v>1.7771872223689278</c:v>
                </c:pt>
                <c:pt idx="8">
                  <c:v>1.8172329074990565</c:v>
                </c:pt>
                <c:pt idx="9">
                  <c:v>1.896851920892906</c:v>
                </c:pt>
                <c:pt idx="10">
                  <c:v>1.8651171542747533</c:v>
                </c:pt>
                <c:pt idx="11">
                  <c:v>1.7816049662294446</c:v>
                </c:pt>
                <c:pt idx="12">
                  <c:v>1.7218607942362858</c:v>
                </c:pt>
                <c:pt idx="13">
                  <c:v>1.7368400895289906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4D-D447-92FC-4484246FE336}"/>
            </c:ext>
          </c:extLst>
        </c:ser>
        <c:ser>
          <c:idx val="1"/>
          <c:order val="1"/>
          <c:tx>
            <c:v>Copper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[4]Summary!$E$74:$R$74</c:f>
                <c:numCache>
                  <c:formatCode>General</c:formatCode>
                  <c:ptCount val="14"/>
                  <c:pt idx="0">
                    <c:v>3.0632485704719305E-2</c:v>
                  </c:pt>
                  <c:pt idx="1">
                    <c:v>0.15058205837943928</c:v>
                  </c:pt>
                  <c:pt idx="2">
                    <c:v>0.21175631010267881</c:v>
                  </c:pt>
                  <c:pt idx="3">
                    <c:v>0.19972872152653742</c:v>
                  </c:pt>
                  <c:pt idx="4">
                    <c:v>9.4452231520109245E-2</c:v>
                  </c:pt>
                  <c:pt idx="5">
                    <c:v>0.40732097834319214</c:v>
                  </c:pt>
                  <c:pt idx="6">
                    <c:v>0.12542449795567451</c:v>
                  </c:pt>
                  <c:pt idx="7">
                    <c:v>0.20040823650146064</c:v>
                  </c:pt>
                  <c:pt idx="8">
                    <c:v>0.14044297659423691</c:v>
                  </c:pt>
                  <c:pt idx="9">
                    <c:v>0.19214880569124257</c:v>
                  </c:pt>
                  <c:pt idx="10">
                    <c:v>0.13671484172139045</c:v>
                  </c:pt>
                  <c:pt idx="11">
                    <c:v>0.12784915264133179</c:v>
                  </c:pt>
                  <c:pt idx="12">
                    <c:v>0.12898955397718195</c:v>
                  </c:pt>
                  <c:pt idx="13">
                    <c:v>0.132246209578055</c:v>
                  </c:pt>
                </c:numCache>
              </c:numRef>
            </c:plus>
            <c:minus>
              <c:numRef>
                <c:f>[4]Summary!$E$74:$R$74</c:f>
                <c:numCache>
                  <c:formatCode>General</c:formatCode>
                  <c:ptCount val="14"/>
                  <c:pt idx="0">
                    <c:v>3.0632485704719305E-2</c:v>
                  </c:pt>
                  <c:pt idx="1">
                    <c:v>0.15058205837943928</c:v>
                  </c:pt>
                  <c:pt idx="2">
                    <c:v>0.21175631010267881</c:v>
                  </c:pt>
                  <c:pt idx="3">
                    <c:v>0.19972872152653742</c:v>
                  </c:pt>
                  <c:pt idx="4">
                    <c:v>9.4452231520109245E-2</c:v>
                  </c:pt>
                  <c:pt idx="5">
                    <c:v>0.40732097834319214</c:v>
                  </c:pt>
                  <c:pt idx="6">
                    <c:v>0.12542449795567451</c:v>
                  </c:pt>
                  <c:pt idx="7">
                    <c:v>0.20040823650146064</c:v>
                  </c:pt>
                  <c:pt idx="8">
                    <c:v>0.14044297659423691</c:v>
                  </c:pt>
                  <c:pt idx="9">
                    <c:v>0.19214880569124257</c:v>
                  </c:pt>
                  <c:pt idx="10">
                    <c:v>0.13671484172139045</c:v>
                  </c:pt>
                  <c:pt idx="11">
                    <c:v>0.12784915264133179</c:v>
                  </c:pt>
                  <c:pt idx="12">
                    <c:v>0.12898955397718195</c:v>
                  </c:pt>
                  <c:pt idx="13">
                    <c:v>0.132246209578055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[4]Summary!$E$54:$R$54</c:f>
              <c:numCache>
                <c:formatCode>General</c:formatCode>
                <c:ptCount val="14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  <c:pt idx="9">
                  <c:v>28.5</c:v>
                </c:pt>
                <c:pt idx="10">
                  <c:v>31.5</c:v>
                </c:pt>
                <c:pt idx="11">
                  <c:v>34.5</c:v>
                </c:pt>
                <c:pt idx="12">
                  <c:v>37.5</c:v>
                </c:pt>
                <c:pt idx="13">
                  <c:v>40.5</c:v>
                </c:pt>
              </c:numCache>
            </c:numRef>
          </c:xVal>
          <c:yVal>
            <c:numRef>
              <c:f>[4]Summary!$E$69:$R$69</c:f>
              <c:numCache>
                <c:formatCode>General</c:formatCode>
                <c:ptCount val="14"/>
                <c:pt idx="0">
                  <c:v>0.65646505502265662</c:v>
                </c:pt>
                <c:pt idx="1">
                  <c:v>0.48931350291159381</c:v>
                </c:pt>
                <c:pt idx="2">
                  <c:v>0.60619224028416119</c:v>
                </c:pt>
                <c:pt idx="3">
                  <c:v>0.51442512999200996</c:v>
                </c:pt>
                <c:pt idx="4">
                  <c:v>0.76084771474403778</c:v>
                </c:pt>
                <c:pt idx="5">
                  <c:v>6.8730307708110477E-2</c:v>
                </c:pt>
                <c:pt idx="6">
                  <c:v>0.92083804362450172</c:v>
                </c:pt>
                <c:pt idx="7">
                  <c:v>0.90231638187197272</c:v>
                </c:pt>
                <c:pt idx="8">
                  <c:v>0.82664466009839932</c:v>
                </c:pt>
                <c:pt idx="9">
                  <c:v>1.1217004133940383</c:v>
                </c:pt>
                <c:pt idx="10">
                  <c:v>1.1104007619506506</c:v>
                </c:pt>
                <c:pt idx="11">
                  <c:v>1.0952208013177529</c:v>
                </c:pt>
                <c:pt idx="12">
                  <c:v>1.0004447522840823</c:v>
                </c:pt>
                <c:pt idx="13">
                  <c:v>1.1593924453729361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4D-D447-92FC-4484246FE336}"/>
            </c:ext>
          </c:extLst>
        </c:ser>
        <c:ser>
          <c:idx val="2"/>
          <c:order val="2"/>
          <c:tx>
            <c:v>RO5_C</c:v>
          </c:tx>
          <c:spPr>
            <a:ln w="1905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ash"/>
              </a:ln>
              <a:effectLst/>
            </c:spPr>
          </c:marker>
          <c:xVal>
            <c:numRef>
              <c:f>[4]Summary!$E$54:$R$54</c:f>
              <c:numCache>
                <c:formatCode>General</c:formatCode>
                <c:ptCount val="14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  <c:pt idx="9">
                  <c:v>28.5</c:v>
                </c:pt>
                <c:pt idx="10">
                  <c:v>31.5</c:v>
                </c:pt>
                <c:pt idx="11">
                  <c:v>34.5</c:v>
                </c:pt>
                <c:pt idx="12">
                  <c:v>37.5</c:v>
                </c:pt>
                <c:pt idx="13">
                  <c:v>40.5</c:v>
                </c:pt>
              </c:numCache>
            </c:numRef>
          </c:xVal>
          <c:yVal>
            <c:numRef>
              <c:f>[4]Summary!$E$70:$R$70</c:f>
              <c:numCache>
                <c:formatCode>General</c:formatCode>
                <c:ptCount val="14"/>
                <c:pt idx="0">
                  <c:v>1.5593907498109651</c:v>
                </c:pt>
                <c:pt idx="1">
                  <c:v>1.6586575634911016</c:v>
                </c:pt>
                <c:pt idx="2">
                  <c:v>1.6637406572436921</c:v>
                </c:pt>
                <c:pt idx="3">
                  <c:v>1.5290750489844107</c:v>
                </c:pt>
                <c:pt idx="4">
                  <c:v>1.5996139703101353</c:v>
                </c:pt>
                <c:pt idx="5">
                  <c:v>1.7303646384288391</c:v>
                </c:pt>
                <c:pt idx="6">
                  <c:v>1.7091865647756739</c:v>
                </c:pt>
                <c:pt idx="7">
                  <c:v>1.6133021824334248</c:v>
                </c:pt>
                <c:pt idx="8">
                  <c:v>1.5715923625976806</c:v>
                </c:pt>
                <c:pt idx="9">
                  <c:v>1.7239827933093437</c:v>
                </c:pt>
                <c:pt idx="10">
                  <c:v>1.6301583572346914</c:v>
                </c:pt>
                <c:pt idx="11">
                  <c:v>1.6883785962160001</c:v>
                </c:pt>
                <c:pt idx="12">
                  <c:v>1.5049094912692607</c:v>
                </c:pt>
                <c:pt idx="13">
                  <c:v>1.6119150719385644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4D-D447-92FC-4484246FE336}"/>
            </c:ext>
          </c:extLst>
        </c:ser>
        <c:ser>
          <c:idx val="3"/>
          <c:order val="3"/>
          <c:tx>
            <c:v>RO5_Cu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[4]Summary!$E$54:$R$54</c:f>
              <c:numCache>
                <c:formatCode>General</c:formatCode>
                <c:ptCount val="14"/>
                <c:pt idx="0">
                  <c:v>1.5</c:v>
                </c:pt>
                <c:pt idx="1">
                  <c:v>4.5</c:v>
                </c:pt>
                <c:pt idx="2">
                  <c:v>7.5</c:v>
                </c:pt>
                <c:pt idx="3">
                  <c:v>10.5</c:v>
                </c:pt>
                <c:pt idx="4">
                  <c:v>13.5</c:v>
                </c:pt>
                <c:pt idx="5">
                  <c:v>16.5</c:v>
                </c:pt>
                <c:pt idx="6">
                  <c:v>19.5</c:v>
                </c:pt>
                <c:pt idx="7">
                  <c:v>22.5</c:v>
                </c:pt>
                <c:pt idx="8">
                  <c:v>25.5</c:v>
                </c:pt>
                <c:pt idx="9">
                  <c:v>28.5</c:v>
                </c:pt>
                <c:pt idx="10">
                  <c:v>31.5</c:v>
                </c:pt>
                <c:pt idx="11">
                  <c:v>34.5</c:v>
                </c:pt>
                <c:pt idx="12">
                  <c:v>37.5</c:v>
                </c:pt>
                <c:pt idx="13">
                  <c:v>40.5</c:v>
                </c:pt>
              </c:numCache>
            </c:numRef>
          </c:xVal>
          <c:yVal>
            <c:numRef>
              <c:f>[4]Summary!$E$71:$R$71</c:f>
              <c:numCache>
                <c:formatCode>General</c:formatCode>
                <c:ptCount val="14"/>
                <c:pt idx="0">
                  <c:v>0.76650928044107636</c:v>
                </c:pt>
                <c:pt idx="1">
                  <c:v>0.52282042812049045</c:v>
                </c:pt>
                <c:pt idx="2">
                  <c:v>-0.30942727956491972</c:v>
                </c:pt>
                <c:pt idx="4">
                  <c:v>0.26239282451436097</c:v>
                </c:pt>
                <c:pt idx="5">
                  <c:v>6.4561132399255136E-2</c:v>
                </c:pt>
                <c:pt idx="6">
                  <c:v>5.3776221637949519E-2</c:v>
                </c:pt>
                <c:pt idx="7">
                  <c:v>-7.9059784087818066E-2</c:v>
                </c:pt>
                <c:pt idx="8">
                  <c:v>0.86414027305596575</c:v>
                </c:pt>
                <c:pt idx="9">
                  <c:v>0.99788435043959944</c:v>
                </c:pt>
                <c:pt idx="10">
                  <c:v>1.0490888338610522</c:v>
                </c:pt>
                <c:pt idx="11">
                  <c:v>0.88505210683158897</c:v>
                </c:pt>
                <c:pt idx="12">
                  <c:v>0.77674843801267068</c:v>
                </c:pt>
                <c:pt idx="13">
                  <c:v>0.91788135226718237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4D-D447-92FC-4484246F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68384"/>
        <c:axId val="266770688"/>
      </c:scatterChart>
      <c:valAx>
        <c:axId val="266768384"/>
        <c:scaling>
          <c:orientation val="minMax"/>
          <c:max val="4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solidFill>
                      <a:sysClr val="windowText" lastClr="000000"/>
                    </a:solidFill>
                  </a:rPr>
                  <a:t>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70688"/>
        <c:crosses val="autoZero"/>
        <c:crossBetween val="midCat"/>
        <c:majorUnit val="10"/>
      </c:valAx>
      <c:valAx>
        <c:axId val="266770688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ln>
                      <a:noFill/>
                    </a:ln>
                    <a:solidFill>
                      <a:sysClr val="windowText" lastClr="000000"/>
                    </a:solidFill>
                  </a:rPr>
                  <a:t>Growth rate (day</a:t>
                </a:r>
                <a:r>
                  <a:rPr lang="sv-SE" baseline="30000">
                    <a:ln>
                      <a:noFill/>
                    </a:ln>
                    <a:solidFill>
                      <a:sysClr val="windowText" lastClr="000000"/>
                    </a:solidFill>
                  </a:rPr>
                  <a:t>-1</a:t>
                </a:r>
                <a:r>
                  <a:rPr lang="sv-SE">
                    <a:ln>
                      <a:noFill/>
                    </a:ln>
                    <a:solidFill>
                      <a:sysClr val="windowText" lastClr="000000"/>
                    </a:solidFill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"/>
              <c:y val="0.201341928375204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68384"/>
        <c:crosses val="autoZero"/>
        <c:crossBetween val="midCat"/>
        <c:majorUnit val="1"/>
      </c:valAx>
      <c:spPr>
        <a:noFill/>
        <a:ln>
          <a:solidFill>
            <a:schemeClr val="tx1">
              <a:lumMod val="85000"/>
              <a:lumOff val="1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5976882952624788"/>
          <c:y val="4.9211751428997481E-2"/>
          <c:w val="0.36610908937813952"/>
          <c:h val="0.23408226171126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300">
          <a:solidFill>
            <a:schemeClr val="tx1">
              <a:lumMod val="85000"/>
              <a:lumOff val="1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53580643437322"/>
          <c:y val="8.2156151578938019E-2"/>
          <c:w val="0.7872664821565778"/>
          <c:h val="0.65514617964421118"/>
        </c:manualLayout>
      </c:layout>
      <c:scatterChart>
        <c:scatterStyle val="lineMarker"/>
        <c:varyColors val="0"/>
        <c:ser>
          <c:idx val="0"/>
          <c:order val="0"/>
          <c:tx>
            <c:strRef>
              <c:f>'[4]PICT growth'!$MJ$50</c:f>
              <c:strCache>
                <c:ptCount val="1"/>
                <c:pt idx="0">
                  <c:v>Control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'[4]PICT growth'!$MK$55:$NL$55</c:f>
                <c:numCache>
                  <c:formatCode>General</c:formatCode>
                  <c:ptCount val="28"/>
                  <c:pt idx="0">
                    <c:v>0</c:v>
                  </c:pt>
                  <c:pt idx="1">
                    <c:v>3.5221230744799277E-2</c:v>
                  </c:pt>
                  <c:pt idx="2">
                    <c:v>0</c:v>
                  </c:pt>
                  <c:pt idx="3">
                    <c:v>3.3498566843638042E-2</c:v>
                  </c:pt>
                  <c:pt idx="4">
                    <c:v>0</c:v>
                  </c:pt>
                  <c:pt idx="5">
                    <c:v>0.1464551870322561</c:v>
                  </c:pt>
                  <c:pt idx="6">
                    <c:v>0</c:v>
                  </c:pt>
                  <c:pt idx="7">
                    <c:v>3.027270730903866E-3</c:v>
                  </c:pt>
                  <c:pt idx="8">
                    <c:v>0</c:v>
                  </c:pt>
                  <c:pt idx="9">
                    <c:v>2.6364883753596122E-2</c:v>
                  </c:pt>
                  <c:pt idx="10">
                    <c:v>0</c:v>
                  </c:pt>
                  <c:pt idx="11">
                    <c:v>2.7425359384307041E-2</c:v>
                  </c:pt>
                  <c:pt idx="12">
                    <c:v>0</c:v>
                  </c:pt>
                  <c:pt idx="13">
                    <c:v>1.3407635470248426E-2</c:v>
                  </c:pt>
                  <c:pt idx="14">
                    <c:v>0</c:v>
                  </c:pt>
                  <c:pt idx="15">
                    <c:v>1.6501540907652351E-2</c:v>
                  </c:pt>
                  <c:pt idx="16">
                    <c:v>0</c:v>
                  </c:pt>
                  <c:pt idx="17">
                    <c:v>2.3607933430934609E-2</c:v>
                  </c:pt>
                  <c:pt idx="18">
                    <c:v>0</c:v>
                  </c:pt>
                  <c:pt idx="19">
                    <c:v>1.8413398339771202E-2</c:v>
                  </c:pt>
                  <c:pt idx="20">
                    <c:v>0</c:v>
                  </c:pt>
                  <c:pt idx="21">
                    <c:v>3.1780472877055842E-2</c:v>
                  </c:pt>
                  <c:pt idx="22">
                    <c:v>0</c:v>
                  </c:pt>
                  <c:pt idx="23">
                    <c:v>1.3544065637306897E-2</c:v>
                  </c:pt>
                  <c:pt idx="24">
                    <c:v>0</c:v>
                  </c:pt>
                  <c:pt idx="25">
                    <c:v>7.343632270056231E-3</c:v>
                  </c:pt>
                  <c:pt idx="26">
                    <c:v>0</c:v>
                  </c:pt>
                  <c:pt idx="27">
                    <c:v>3.9028129342682079E-2</c:v>
                  </c:pt>
                </c:numCache>
              </c:numRef>
            </c:plus>
            <c:minus>
              <c:numRef>
                <c:f>'[4]PICT growth'!$MK$55:$NL$55</c:f>
                <c:numCache>
                  <c:formatCode>General</c:formatCode>
                  <c:ptCount val="28"/>
                  <c:pt idx="0">
                    <c:v>0</c:v>
                  </c:pt>
                  <c:pt idx="1">
                    <c:v>3.5221230744799277E-2</c:v>
                  </c:pt>
                  <c:pt idx="2">
                    <c:v>0</c:v>
                  </c:pt>
                  <c:pt idx="3">
                    <c:v>3.3498566843638042E-2</c:v>
                  </c:pt>
                  <c:pt idx="4">
                    <c:v>0</c:v>
                  </c:pt>
                  <c:pt idx="5">
                    <c:v>0.1464551870322561</c:v>
                  </c:pt>
                  <c:pt idx="6">
                    <c:v>0</c:v>
                  </c:pt>
                  <c:pt idx="7">
                    <c:v>3.027270730903866E-3</c:v>
                  </c:pt>
                  <c:pt idx="8">
                    <c:v>0</c:v>
                  </c:pt>
                  <c:pt idx="9">
                    <c:v>2.6364883753596122E-2</c:v>
                  </c:pt>
                  <c:pt idx="10">
                    <c:v>0</c:v>
                  </c:pt>
                  <c:pt idx="11">
                    <c:v>2.7425359384307041E-2</c:v>
                  </c:pt>
                  <c:pt idx="12">
                    <c:v>0</c:v>
                  </c:pt>
                  <c:pt idx="13">
                    <c:v>1.3407635470248426E-2</c:v>
                  </c:pt>
                  <c:pt idx="14">
                    <c:v>0</c:v>
                  </c:pt>
                  <c:pt idx="15">
                    <c:v>1.6501540907652351E-2</c:v>
                  </c:pt>
                  <c:pt idx="16">
                    <c:v>0</c:v>
                  </c:pt>
                  <c:pt idx="17">
                    <c:v>2.3607933430934609E-2</c:v>
                  </c:pt>
                  <c:pt idx="18">
                    <c:v>0</c:v>
                  </c:pt>
                  <c:pt idx="19">
                    <c:v>1.8413398339771202E-2</c:v>
                  </c:pt>
                  <c:pt idx="20">
                    <c:v>0</c:v>
                  </c:pt>
                  <c:pt idx="21">
                    <c:v>3.1780472877055842E-2</c:v>
                  </c:pt>
                  <c:pt idx="22">
                    <c:v>0</c:v>
                  </c:pt>
                  <c:pt idx="23">
                    <c:v>1.3544065637306897E-2</c:v>
                  </c:pt>
                  <c:pt idx="24">
                    <c:v>0</c:v>
                  </c:pt>
                  <c:pt idx="25">
                    <c:v>7.343632270056231E-3</c:v>
                  </c:pt>
                  <c:pt idx="26">
                    <c:v>0</c:v>
                  </c:pt>
                  <c:pt idx="27">
                    <c:v>3.9028129342682079E-2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'[4]PICT growth'!$MK$49:$NM$49</c:f>
              <c:numCache>
                <c:formatCode>General</c:formatCode>
                <c:ptCount val="29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  <c:pt idx="28">
                  <c:v>42</c:v>
                </c:pt>
              </c:numCache>
            </c:numRef>
          </c:xVal>
          <c:yVal>
            <c:numRef>
              <c:f>'[4]PICT growth'!$MK$50:$NM$50</c:f>
              <c:numCache>
                <c:formatCode>General</c:formatCode>
                <c:ptCount val="29"/>
                <c:pt idx="0">
                  <c:v>1.5E-3</c:v>
                </c:pt>
                <c:pt idx="1">
                  <c:v>0.21799600909000003</c:v>
                </c:pt>
                <c:pt idx="2">
                  <c:v>1E-3</c:v>
                </c:pt>
                <c:pt idx="3">
                  <c:v>0.135181685449</c:v>
                </c:pt>
                <c:pt idx="4">
                  <c:v>1E-3</c:v>
                </c:pt>
                <c:pt idx="5">
                  <c:v>0.30883745339999991</c:v>
                </c:pt>
                <c:pt idx="6">
                  <c:v>5.0000000000000001E-4</c:v>
                </c:pt>
                <c:pt idx="7">
                  <c:v>6.0876805918000008E-2</c:v>
                </c:pt>
                <c:pt idx="8">
                  <c:v>5.0000000000000001E-4</c:v>
                </c:pt>
                <c:pt idx="9">
                  <c:v>0.110777736742</c:v>
                </c:pt>
                <c:pt idx="10">
                  <c:v>5.0000000000000001E-4</c:v>
                </c:pt>
                <c:pt idx="11">
                  <c:v>0.17522050387254001</c:v>
                </c:pt>
                <c:pt idx="12">
                  <c:v>5.0000000000000001E-4</c:v>
                </c:pt>
                <c:pt idx="13">
                  <c:v>8.964453973E-2</c:v>
                </c:pt>
                <c:pt idx="14">
                  <c:v>5.0000000000000001E-4</c:v>
                </c:pt>
                <c:pt idx="15">
                  <c:v>0.10435002589</c:v>
                </c:pt>
                <c:pt idx="16">
                  <c:v>5.0000000000000001E-4</c:v>
                </c:pt>
                <c:pt idx="17">
                  <c:v>0.11852007068999999</c:v>
                </c:pt>
                <c:pt idx="18">
                  <c:v>5.0000000000000001E-4</c:v>
                </c:pt>
                <c:pt idx="19">
                  <c:v>0.14892370747100001</c:v>
                </c:pt>
                <c:pt idx="20">
                  <c:v>5.0000000000000001E-4</c:v>
                </c:pt>
                <c:pt idx="21">
                  <c:v>0.13735480856899998</c:v>
                </c:pt>
                <c:pt idx="22">
                  <c:v>5.0000000000000001E-4</c:v>
                </c:pt>
                <c:pt idx="23">
                  <c:v>0.10540007809999999</c:v>
                </c:pt>
                <c:pt idx="24">
                  <c:v>5.0000000000000001E-4</c:v>
                </c:pt>
                <c:pt idx="25">
                  <c:v>8.7805343793999999E-2</c:v>
                </c:pt>
                <c:pt idx="26">
                  <c:v>1E-3</c:v>
                </c:pt>
                <c:pt idx="27">
                  <c:v>0.18604519506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4-C043-9177-DE7527461924}"/>
            </c:ext>
          </c:extLst>
        </c:ser>
        <c:ser>
          <c:idx val="1"/>
          <c:order val="1"/>
          <c:tx>
            <c:strRef>
              <c:f>'[4]PICT growth'!$MJ$51</c:f>
              <c:strCache>
                <c:ptCount val="1"/>
                <c:pt idx="0">
                  <c:v>Cu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'[4]PICT growth'!$MK$56:$NL$56</c:f>
                <c:numCache>
                  <c:formatCode>General</c:formatCode>
                  <c:ptCount val="28"/>
                  <c:pt idx="0">
                    <c:v>0</c:v>
                  </c:pt>
                  <c:pt idx="1">
                    <c:v>1.7653543404755982E-3</c:v>
                  </c:pt>
                  <c:pt idx="2">
                    <c:v>0</c:v>
                  </c:pt>
                  <c:pt idx="3">
                    <c:v>6.5189162288554914E-3</c:v>
                  </c:pt>
                  <c:pt idx="4">
                    <c:v>0</c:v>
                  </c:pt>
                  <c:pt idx="5">
                    <c:v>1.5881105550090393E-2</c:v>
                  </c:pt>
                  <c:pt idx="6">
                    <c:v>0</c:v>
                  </c:pt>
                  <c:pt idx="7">
                    <c:v>9.3579900389074121E-3</c:v>
                  </c:pt>
                  <c:pt idx="8">
                    <c:v>9.2574294488264935E-4</c:v>
                  </c:pt>
                  <c:pt idx="9">
                    <c:v>1.8608603965604438E-2</c:v>
                  </c:pt>
                  <c:pt idx="10">
                    <c:v>7.9104361447394293E-4</c:v>
                  </c:pt>
                  <c:pt idx="11">
                    <c:v>6.2707834832724059E-3</c:v>
                  </c:pt>
                  <c:pt idx="12">
                    <c:v>7.0710678118654751E-4</c:v>
                  </c:pt>
                  <c:pt idx="13">
                    <c:v>1.3356804989531443E-2</c:v>
                  </c:pt>
                  <c:pt idx="14">
                    <c:v>0</c:v>
                  </c:pt>
                  <c:pt idx="15">
                    <c:v>2.3548880516452701E-2</c:v>
                  </c:pt>
                  <c:pt idx="16">
                    <c:v>0</c:v>
                  </c:pt>
                  <c:pt idx="17">
                    <c:v>1.475543448400108E-2</c:v>
                  </c:pt>
                  <c:pt idx="18">
                    <c:v>0</c:v>
                  </c:pt>
                  <c:pt idx="19">
                    <c:v>4.8094193763851607E-2</c:v>
                  </c:pt>
                  <c:pt idx="20">
                    <c:v>0</c:v>
                  </c:pt>
                  <c:pt idx="21">
                    <c:v>3.5502706689250277E-2</c:v>
                  </c:pt>
                  <c:pt idx="22">
                    <c:v>0</c:v>
                  </c:pt>
                  <c:pt idx="23">
                    <c:v>0.123131716016946</c:v>
                  </c:pt>
                  <c:pt idx="24">
                    <c:v>0</c:v>
                  </c:pt>
                  <c:pt idx="25">
                    <c:v>5.0610282688704135E-2</c:v>
                  </c:pt>
                  <c:pt idx="26">
                    <c:v>0</c:v>
                  </c:pt>
                  <c:pt idx="27">
                    <c:v>8.4575563132734607E-2</c:v>
                  </c:pt>
                </c:numCache>
              </c:numRef>
            </c:plus>
            <c:minus>
              <c:numRef>
                <c:f>'[4]PICT growth'!$MK$56:$NL$56</c:f>
                <c:numCache>
                  <c:formatCode>General</c:formatCode>
                  <c:ptCount val="28"/>
                  <c:pt idx="0">
                    <c:v>0</c:v>
                  </c:pt>
                  <c:pt idx="1">
                    <c:v>1.7653543404755982E-3</c:v>
                  </c:pt>
                  <c:pt idx="2">
                    <c:v>0</c:v>
                  </c:pt>
                  <c:pt idx="3">
                    <c:v>6.5189162288554914E-3</c:v>
                  </c:pt>
                  <c:pt idx="4">
                    <c:v>0</c:v>
                  </c:pt>
                  <c:pt idx="5">
                    <c:v>1.5881105550090393E-2</c:v>
                  </c:pt>
                  <c:pt idx="6">
                    <c:v>0</c:v>
                  </c:pt>
                  <c:pt idx="7">
                    <c:v>9.3579900389074121E-3</c:v>
                  </c:pt>
                  <c:pt idx="8">
                    <c:v>9.2574294488264935E-4</c:v>
                  </c:pt>
                  <c:pt idx="9">
                    <c:v>1.8608603965604438E-2</c:v>
                  </c:pt>
                  <c:pt idx="10">
                    <c:v>7.9104361447394293E-4</c:v>
                  </c:pt>
                  <c:pt idx="11">
                    <c:v>6.2707834832724059E-3</c:v>
                  </c:pt>
                  <c:pt idx="12">
                    <c:v>7.0710678118654751E-4</c:v>
                  </c:pt>
                  <c:pt idx="13">
                    <c:v>1.3356804989531443E-2</c:v>
                  </c:pt>
                  <c:pt idx="14">
                    <c:v>0</c:v>
                  </c:pt>
                  <c:pt idx="15">
                    <c:v>2.3548880516452701E-2</c:v>
                  </c:pt>
                  <c:pt idx="16">
                    <c:v>0</c:v>
                  </c:pt>
                  <c:pt idx="17">
                    <c:v>1.475543448400108E-2</c:v>
                  </c:pt>
                  <c:pt idx="18">
                    <c:v>0</c:v>
                  </c:pt>
                  <c:pt idx="19">
                    <c:v>4.8094193763851607E-2</c:v>
                  </c:pt>
                  <c:pt idx="20">
                    <c:v>0</c:v>
                  </c:pt>
                  <c:pt idx="21">
                    <c:v>3.5502706689250277E-2</c:v>
                  </c:pt>
                  <c:pt idx="22">
                    <c:v>0</c:v>
                  </c:pt>
                  <c:pt idx="23">
                    <c:v>0.123131716016946</c:v>
                  </c:pt>
                  <c:pt idx="24">
                    <c:v>0</c:v>
                  </c:pt>
                  <c:pt idx="25">
                    <c:v>5.0610282688704135E-2</c:v>
                  </c:pt>
                  <c:pt idx="26">
                    <c:v>0</c:v>
                  </c:pt>
                  <c:pt idx="27">
                    <c:v>8.4575563132734607E-2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'[4]PICT growth'!$MK$49:$NM$49</c:f>
              <c:numCache>
                <c:formatCode>General</c:formatCode>
                <c:ptCount val="29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  <c:pt idx="28">
                  <c:v>42</c:v>
                </c:pt>
              </c:numCache>
            </c:numRef>
          </c:xVal>
          <c:yVal>
            <c:numRef>
              <c:f>'[4]PICT growth'!$MK$51:$NM$51</c:f>
              <c:numCache>
                <c:formatCode>General</c:formatCode>
                <c:ptCount val="29"/>
                <c:pt idx="0">
                  <c:v>3.0000000000000001E-3</c:v>
                </c:pt>
                <c:pt idx="1">
                  <c:v>1.9867205010000003E-2</c:v>
                </c:pt>
                <c:pt idx="2">
                  <c:v>3.0000000000000001E-3</c:v>
                </c:pt>
                <c:pt idx="3">
                  <c:v>1.4147706168999996E-2</c:v>
                </c:pt>
                <c:pt idx="4">
                  <c:v>3.0000000000000001E-3</c:v>
                </c:pt>
                <c:pt idx="5">
                  <c:v>2.2023738039999997E-2</c:v>
                </c:pt>
                <c:pt idx="6">
                  <c:v>3.0000000000000001E-3</c:v>
                </c:pt>
                <c:pt idx="7">
                  <c:v>1.6140735598000003E-2</c:v>
                </c:pt>
                <c:pt idx="8">
                  <c:v>2.4800000000000004E-3</c:v>
                </c:pt>
                <c:pt idx="9">
                  <c:v>3.3195864502000003E-2</c:v>
                </c:pt>
                <c:pt idx="10">
                  <c:v>2.0799999999999998E-3</c:v>
                </c:pt>
                <c:pt idx="11">
                  <c:v>5.1584207075239998E-3</c:v>
                </c:pt>
                <c:pt idx="12">
                  <c:v>2.5000000000000001E-3</c:v>
                </c:pt>
                <c:pt idx="13">
                  <c:v>4.0009021330000005E-2</c:v>
                </c:pt>
                <c:pt idx="14">
                  <c:v>3.0000000000000001E-3</c:v>
                </c:pt>
                <c:pt idx="15">
                  <c:v>5.0705272290000006E-2</c:v>
                </c:pt>
                <c:pt idx="16">
                  <c:v>3.0000000000000001E-3</c:v>
                </c:pt>
                <c:pt idx="17">
                  <c:v>3.8287763489999994E-2</c:v>
                </c:pt>
                <c:pt idx="18">
                  <c:v>3.0000000000000001E-3</c:v>
                </c:pt>
                <c:pt idx="19">
                  <c:v>9.7923420271000011E-2</c:v>
                </c:pt>
                <c:pt idx="20">
                  <c:v>3.0000000000000001E-3</c:v>
                </c:pt>
                <c:pt idx="21">
                  <c:v>8.9573800569000009E-2</c:v>
                </c:pt>
                <c:pt idx="22">
                  <c:v>0.01</c:v>
                </c:pt>
                <c:pt idx="23">
                  <c:v>0.28488069182307696</c:v>
                </c:pt>
                <c:pt idx="24">
                  <c:v>6.0000000000000001E-3</c:v>
                </c:pt>
                <c:pt idx="25">
                  <c:v>0.12815948619400003</c:v>
                </c:pt>
                <c:pt idx="26">
                  <c:v>6.0000000000000001E-3</c:v>
                </c:pt>
                <c:pt idx="27">
                  <c:v>0.20724683825999998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64-C043-9177-DE7527461924}"/>
            </c:ext>
          </c:extLst>
        </c:ser>
        <c:ser>
          <c:idx val="2"/>
          <c:order val="2"/>
          <c:tx>
            <c:strRef>
              <c:f>'[4]PICT growth'!$MJ$52</c:f>
              <c:strCache>
                <c:ptCount val="1"/>
                <c:pt idx="0">
                  <c:v>RO5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'[4]PICT growth'!$MK$49:$NM$49</c:f>
              <c:numCache>
                <c:formatCode>General</c:formatCode>
                <c:ptCount val="29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  <c:pt idx="28">
                  <c:v>42</c:v>
                </c:pt>
              </c:numCache>
            </c:numRef>
          </c:xVal>
          <c:yVal>
            <c:numRef>
              <c:f>'[4]PICT growth'!$MK$52:$NM$52</c:f>
              <c:numCache>
                <c:formatCode>General</c:formatCode>
                <c:ptCount val="29"/>
                <c:pt idx="0">
                  <c:v>1.5E-3</c:v>
                </c:pt>
                <c:pt idx="1">
                  <c:v>0.13278264108999999</c:v>
                </c:pt>
                <c:pt idx="2">
                  <c:v>1E-3</c:v>
                </c:pt>
                <c:pt idx="3">
                  <c:v>0.14488968944900005</c:v>
                </c:pt>
                <c:pt idx="4">
                  <c:v>1E-3</c:v>
                </c:pt>
                <c:pt idx="5">
                  <c:v>0.14711608540000001</c:v>
                </c:pt>
                <c:pt idx="6">
                  <c:v>5.0000000000000001E-4</c:v>
                </c:pt>
                <c:pt idx="7">
                  <c:v>4.9110750718000001E-2</c:v>
                </c:pt>
                <c:pt idx="8">
                  <c:v>5.0000000000000001E-4</c:v>
                </c:pt>
                <c:pt idx="9">
                  <c:v>6.0684889541999992E-2</c:v>
                </c:pt>
                <c:pt idx="10">
                  <c:v>5.0000000000000001E-4</c:v>
                </c:pt>
                <c:pt idx="11">
                  <c:v>8.9832491872540013E-2</c:v>
                </c:pt>
                <c:pt idx="12">
                  <c:v>5.0000000000000001E-4</c:v>
                </c:pt>
                <c:pt idx="13">
                  <c:v>8.4302583730000019E-2</c:v>
                </c:pt>
                <c:pt idx="14">
                  <c:v>5.0000000000000001E-4</c:v>
                </c:pt>
                <c:pt idx="15">
                  <c:v>6.3228766690000021E-2</c:v>
                </c:pt>
                <c:pt idx="16">
                  <c:v>5.0000000000000001E-4</c:v>
                </c:pt>
                <c:pt idx="17">
                  <c:v>5.5791967489999997E-2</c:v>
                </c:pt>
                <c:pt idx="18">
                  <c:v>5.0000000000000001E-4</c:v>
                </c:pt>
                <c:pt idx="19">
                  <c:v>8.8128960270999993E-2</c:v>
                </c:pt>
                <c:pt idx="20">
                  <c:v>5.0000000000000001E-4</c:v>
                </c:pt>
                <c:pt idx="21">
                  <c:v>6.6508375768999983E-2</c:v>
                </c:pt>
                <c:pt idx="22">
                  <c:v>5.0000000000000001E-4</c:v>
                </c:pt>
                <c:pt idx="23">
                  <c:v>7.9200974899999999E-2</c:v>
                </c:pt>
                <c:pt idx="24">
                  <c:v>5.0000000000000001E-4</c:v>
                </c:pt>
                <c:pt idx="25">
                  <c:v>4.5676378994000004E-2</c:v>
                </c:pt>
                <c:pt idx="26">
                  <c:v>1E-3</c:v>
                </c:pt>
                <c:pt idx="27">
                  <c:v>0.12593239505999995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64-C043-9177-DE7527461924}"/>
            </c:ext>
          </c:extLst>
        </c:ser>
        <c:ser>
          <c:idx val="3"/>
          <c:order val="3"/>
          <c:tx>
            <c:strRef>
              <c:f>'[4]PICT growth'!$MJ$53</c:f>
              <c:strCache>
                <c:ptCount val="1"/>
                <c:pt idx="0">
                  <c:v>RO5-Cu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'[4]PICT growth'!$MK$49:$NM$49</c:f>
              <c:numCache>
                <c:formatCode>General</c:formatCode>
                <c:ptCount val="29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  <c:pt idx="28">
                  <c:v>42</c:v>
                </c:pt>
              </c:numCache>
            </c:numRef>
          </c:xVal>
          <c:yVal>
            <c:numRef>
              <c:f>'[4]PICT growth'!$MK$53:$NM$53</c:f>
              <c:numCache>
                <c:formatCode>General</c:formatCode>
                <c:ptCount val="29"/>
                <c:pt idx="0">
                  <c:v>3.0000000000000001E-3</c:v>
                </c:pt>
                <c:pt idx="1">
                  <c:v>2.7175789090000006E-2</c:v>
                </c:pt>
                <c:pt idx="2">
                  <c:v>3.0000000000000001E-3</c:v>
                </c:pt>
                <c:pt idx="3">
                  <c:v>1.4397773448999998E-2</c:v>
                </c:pt>
                <c:pt idx="4">
                  <c:v>3.0000000000000001E-3</c:v>
                </c:pt>
                <c:pt idx="5">
                  <c:v>1.1856966000000019E-3</c:v>
                </c:pt>
                <c:pt idx="6">
                  <c:v>3.0000000000000001E-3</c:v>
                </c:pt>
                <c:pt idx="7">
                  <c:v>-8.847401999999456E-6</c:v>
                </c:pt>
                <c:pt idx="8">
                  <c:v>3.0000000000000001E-3</c:v>
                </c:pt>
                <c:pt idx="9">
                  <c:v>6.5915647420000008E-3</c:v>
                </c:pt>
                <c:pt idx="10">
                  <c:v>3.0000000000000001E-3</c:v>
                </c:pt>
                <c:pt idx="11">
                  <c:v>3.6411358725399988E-3</c:v>
                </c:pt>
                <c:pt idx="12">
                  <c:v>3.0000000000000001E-3</c:v>
                </c:pt>
                <c:pt idx="13">
                  <c:v>3.5252133299999997E-3</c:v>
                </c:pt>
                <c:pt idx="14">
                  <c:v>1.5E-3</c:v>
                </c:pt>
                <c:pt idx="15">
                  <c:v>1.1832746900000005E-3</c:v>
                </c:pt>
                <c:pt idx="16">
                  <c:v>1.5E-3</c:v>
                </c:pt>
                <c:pt idx="17">
                  <c:v>2.0043119489999997E-2</c:v>
                </c:pt>
                <c:pt idx="18">
                  <c:v>3.0000000000000001E-3</c:v>
                </c:pt>
                <c:pt idx="19">
                  <c:v>5.9875376271000008E-2</c:v>
                </c:pt>
                <c:pt idx="20">
                  <c:v>3.0000000000000001E-3</c:v>
                </c:pt>
                <c:pt idx="21">
                  <c:v>6.9817087769000002E-2</c:v>
                </c:pt>
                <c:pt idx="22">
                  <c:v>0.01</c:v>
                </c:pt>
                <c:pt idx="23">
                  <c:v>0.1422720989</c:v>
                </c:pt>
                <c:pt idx="24">
                  <c:v>6.0000000000000001E-3</c:v>
                </c:pt>
                <c:pt idx="25">
                  <c:v>6.1682778993999994E-2</c:v>
                </c:pt>
                <c:pt idx="26">
                  <c:v>6.0000000000000001E-3</c:v>
                </c:pt>
                <c:pt idx="27">
                  <c:v>9.4198431060000018E-2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64-C043-9177-DE7527461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563712"/>
        <c:axId val="286574464"/>
      </c:scatterChart>
      <c:valAx>
        <c:axId val="286563712"/>
        <c:scaling>
          <c:orientation val="minMax"/>
          <c:max val="4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Time (d)</a:t>
                </a:r>
              </a:p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86574464"/>
        <c:crossesAt val="1.0000000000000003E-4"/>
        <c:crossBetween val="midCat"/>
      </c:valAx>
      <c:valAx>
        <c:axId val="286574464"/>
        <c:scaling>
          <c:logBase val="10"/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Density (RFU)</a:t>
                </a:r>
              </a:p>
            </c:rich>
          </c:tx>
          <c:layout>
            <c:manualLayout>
              <c:xMode val="edge"/>
              <c:yMode val="edge"/>
              <c:x val="9.6569413947572118E-3"/>
              <c:y val="0.14459110835779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86563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1665073769768626"/>
          <c:w val="0.35765388325400105"/>
          <c:h val="0.181189345790045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sv-SE"/>
              <a:t>VG</a:t>
            </a:r>
          </a:p>
        </c:rich>
      </c:tx>
      <c:layout>
        <c:manualLayout>
          <c:xMode val="edge"/>
          <c:yMode val="edge"/>
          <c:x val="0.17318335670825033"/>
          <c:y val="4.5308322155342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0.1234566195747607"/>
          <c:y val="3.1117819289873398E-2"/>
          <c:w val="0.83815479369991164"/>
          <c:h val="0.77715255368905745"/>
        </c:manualLayout>
      </c:layout>
      <c:scatterChart>
        <c:scatterStyle val="lineMarker"/>
        <c:varyColors val="0"/>
        <c:ser>
          <c:idx val="0"/>
          <c:order val="0"/>
          <c:tx>
            <c:v>Control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[4]Summary!$E$73:$R$73</c:f>
                <c:numCache>
                  <c:formatCode>General</c:formatCode>
                  <c:ptCount val="14"/>
                  <c:pt idx="0">
                    <c:v>5.2533431896057976E-2</c:v>
                  </c:pt>
                  <c:pt idx="1">
                    <c:v>8.9936273781582532E-2</c:v>
                  </c:pt>
                  <c:pt idx="2">
                    <c:v>0.15725344832627461</c:v>
                  </c:pt>
                  <c:pt idx="3">
                    <c:v>1.6553581352581895E-2</c:v>
                  </c:pt>
                  <c:pt idx="4">
                    <c:v>7.175714969465187E-2</c:v>
                  </c:pt>
                  <c:pt idx="5">
                    <c:v>5.0957187972952692E-2</c:v>
                  </c:pt>
                  <c:pt idx="6">
                    <c:v>4.9135592567129134E-2</c:v>
                  </c:pt>
                  <c:pt idx="7">
                    <c:v>5.0050696076888959E-2</c:v>
                  </c:pt>
                  <c:pt idx="8">
                    <c:v>6.8405084979005187E-2</c:v>
                  </c:pt>
                  <c:pt idx="9">
                    <c:v>4.0782614106876391E-2</c:v>
                  </c:pt>
                  <c:pt idx="10">
                    <c:v>7.4260960245244437E-2</c:v>
                  </c:pt>
                  <c:pt idx="11">
                    <c:v>4.0328037979756759E-2</c:v>
                  </c:pt>
                  <c:pt idx="12">
                    <c:v>2.7046562330842953E-2</c:v>
                  </c:pt>
                  <c:pt idx="13">
                    <c:v>6.3434146548568215E-2</c:v>
                  </c:pt>
                </c:numCache>
              </c:numRef>
            </c:plus>
            <c:minus>
              <c:numRef>
                <c:f>[4]Summary!$E$73:$R$73</c:f>
                <c:numCache>
                  <c:formatCode>General</c:formatCode>
                  <c:ptCount val="14"/>
                  <c:pt idx="0">
                    <c:v>5.2533431896057976E-2</c:v>
                  </c:pt>
                  <c:pt idx="1">
                    <c:v>8.9936273781582532E-2</c:v>
                  </c:pt>
                  <c:pt idx="2">
                    <c:v>0.15725344832627461</c:v>
                  </c:pt>
                  <c:pt idx="3">
                    <c:v>1.6553581352581895E-2</c:v>
                  </c:pt>
                  <c:pt idx="4">
                    <c:v>7.175714969465187E-2</c:v>
                  </c:pt>
                  <c:pt idx="5">
                    <c:v>5.0957187972952692E-2</c:v>
                  </c:pt>
                  <c:pt idx="6">
                    <c:v>4.9135592567129134E-2</c:v>
                  </c:pt>
                  <c:pt idx="7">
                    <c:v>5.0050696076888959E-2</c:v>
                  </c:pt>
                  <c:pt idx="8">
                    <c:v>6.8405084979005187E-2</c:v>
                  </c:pt>
                  <c:pt idx="9">
                    <c:v>4.0782614106876391E-2</c:v>
                  </c:pt>
                  <c:pt idx="10">
                    <c:v>7.4260960245244437E-2</c:v>
                  </c:pt>
                  <c:pt idx="11">
                    <c:v>4.0328037979756759E-2</c:v>
                  </c:pt>
                  <c:pt idx="12">
                    <c:v>2.7046562330842953E-2</c:v>
                  </c:pt>
                  <c:pt idx="13">
                    <c:v>6.3434146548568215E-2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'Growth PIPT'!$C$57:$AD$57</c:f>
              <c:numCache>
                <c:formatCode>General</c:formatCode>
                <c:ptCount val="28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</c:numCache>
            </c:numRef>
          </c:xVal>
          <c:yVal>
            <c:numRef>
              <c:f>'Growth PIPT'!$C$58:$AD$58</c:f>
              <c:numCache>
                <c:formatCode>General</c:formatCode>
                <c:ptCount val="28"/>
                <c:pt idx="0">
                  <c:v>1.5E-3</c:v>
                </c:pt>
                <c:pt idx="1">
                  <c:v>0.21799600909000003</c:v>
                </c:pt>
                <c:pt idx="2">
                  <c:v>1E-3</c:v>
                </c:pt>
                <c:pt idx="3">
                  <c:v>0.135181685449</c:v>
                </c:pt>
                <c:pt idx="4">
                  <c:v>1E-3</c:v>
                </c:pt>
                <c:pt idx="5">
                  <c:v>0.30883745339999991</c:v>
                </c:pt>
                <c:pt idx="6">
                  <c:v>5.0000000000000001E-4</c:v>
                </c:pt>
                <c:pt idx="7">
                  <c:v>6.0876805918000008E-2</c:v>
                </c:pt>
                <c:pt idx="8">
                  <c:v>5.0000000000000001E-4</c:v>
                </c:pt>
                <c:pt idx="9">
                  <c:v>0.110777736742</c:v>
                </c:pt>
                <c:pt idx="10">
                  <c:v>5.0000000000000001E-4</c:v>
                </c:pt>
                <c:pt idx="11">
                  <c:v>0.17522050387254001</c:v>
                </c:pt>
                <c:pt idx="12">
                  <c:v>5.0000000000000001E-4</c:v>
                </c:pt>
                <c:pt idx="13">
                  <c:v>8.964453973E-2</c:v>
                </c:pt>
                <c:pt idx="14">
                  <c:v>5.0000000000000001E-4</c:v>
                </c:pt>
                <c:pt idx="15">
                  <c:v>0.10435002589</c:v>
                </c:pt>
                <c:pt idx="16">
                  <c:v>5.0000000000000001E-4</c:v>
                </c:pt>
                <c:pt idx="17">
                  <c:v>0.11852007068999999</c:v>
                </c:pt>
                <c:pt idx="18">
                  <c:v>5.0000000000000001E-4</c:v>
                </c:pt>
                <c:pt idx="19">
                  <c:v>0.14892370747100001</c:v>
                </c:pt>
                <c:pt idx="20">
                  <c:v>5.0000000000000001E-4</c:v>
                </c:pt>
                <c:pt idx="21">
                  <c:v>0.13735480856899998</c:v>
                </c:pt>
                <c:pt idx="22">
                  <c:v>5.0000000000000001E-4</c:v>
                </c:pt>
                <c:pt idx="23">
                  <c:v>0.10540007809999999</c:v>
                </c:pt>
                <c:pt idx="24">
                  <c:v>5.0000000000000001E-4</c:v>
                </c:pt>
                <c:pt idx="25">
                  <c:v>8.7805343793999999E-2</c:v>
                </c:pt>
                <c:pt idx="26">
                  <c:v>1E-3</c:v>
                </c:pt>
                <c:pt idx="27">
                  <c:v>0.18604519506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FC-AE44-8B9B-7FDEB9AD2044}"/>
            </c:ext>
          </c:extLst>
        </c:ser>
        <c:ser>
          <c:idx val="1"/>
          <c:order val="1"/>
          <c:tx>
            <c:v>Copper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[4]Summary!$E$74:$R$74</c:f>
                <c:numCache>
                  <c:formatCode>General</c:formatCode>
                  <c:ptCount val="14"/>
                  <c:pt idx="0">
                    <c:v>3.0632485704719305E-2</c:v>
                  </c:pt>
                  <c:pt idx="1">
                    <c:v>0.15058205837943928</c:v>
                  </c:pt>
                  <c:pt idx="2">
                    <c:v>0.21175631010267881</c:v>
                  </c:pt>
                  <c:pt idx="3">
                    <c:v>0.19972872152653742</c:v>
                  </c:pt>
                  <c:pt idx="4">
                    <c:v>9.4452231520109245E-2</c:v>
                  </c:pt>
                  <c:pt idx="5">
                    <c:v>0.40732097834319214</c:v>
                  </c:pt>
                  <c:pt idx="6">
                    <c:v>0.12542449795567451</c:v>
                  </c:pt>
                  <c:pt idx="7">
                    <c:v>0.20040823650146064</c:v>
                  </c:pt>
                  <c:pt idx="8">
                    <c:v>0.14044297659423691</c:v>
                  </c:pt>
                  <c:pt idx="9">
                    <c:v>0.19214880569124257</c:v>
                  </c:pt>
                  <c:pt idx="10">
                    <c:v>0.13671484172139045</c:v>
                  </c:pt>
                  <c:pt idx="11">
                    <c:v>0.12784915264133179</c:v>
                  </c:pt>
                  <c:pt idx="12">
                    <c:v>0.12898955397718195</c:v>
                  </c:pt>
                  <c:pt idx="13">
                    <c:v>0.132246209578055</c:v>
                  </c:pt>
                </c:numCache>
              </c:numRef>
            </c:plus>
            <c:minus>
              <c:numRef>
                <c:f>[4]Summary!$E$74:$R$74</c:f>
                <c:numCache>
                  <c:formatCode>General</c:formatCode>
                  <c:ptCount val="14"/>
                  <c:pt idx="0">
                    <c:v>3.0632485704719305E-2</c:v>
                  </c:pt>
                  <c:pt idx="1">
                    <c:v>0.15058205837943928</c:v>
                  </c:pt>
                  <c:pt idx="2">
                    <c:v>0.21175631010267881</c:v>
                  </c:pt>
                  <c:pt idx="3">
                    <c:v>0.19972872152653742</c:v>
                  </c:pt>
                  <c:pt idx="4">
                    <c:v>9.4452231520109245E-2</c:v>
                  </c:pt>
                  <c:pt idx="5">
                    <c:v>0.40732097834319214</c:v>
                  </c:pt>
                  <c:pt idx="6">
                    <c:v>0.12542449795567451</c:v>
                  </c:pt>
                  <c:pt idx="7">
                    <c:v>0.20040823650146064</c:v>
                  </c:pt>
                  <c:pt idx="8">
                    <c:v>0.14044297659423691</c:v>
                  </c:pt>
                  <c:pt idx="9">
                    <c:v>0.19214880569124257</c:v>
                  </c:pt>
                  <c:pt idx="10">
                    <c:v>0.13671484172139045</c:v>
                  </c:pt>
                  <c:pt idx="11">
                    <c:v>0.12784915264133179</c:v>
                  </c:pt>
                  <c:pt idx="12">
                    <c:v>0.12898955397718195</c:v>
                  </c:pt>
                  <c:pt idx="13">
                    <c:v>0.132246209578055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'Growth PIPT'!$C$57:$AD$57</c:f>
              <c:numCache>
                <c:formatCode>General</c:formatCode>
                <c:ptCount val="28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</c:numCache>
            </c:numRef>
          </c:xVal>
          <c:yVal>
            <c:numRef>
              <c:f>'Growth PIPT'!$C$59:$AD$59</c:f>
              <c:numCache>
                <c:formatCode>General</c:formatCode>
                <c:ptCount val="28"/>
                <c:pt idx="0">
                  <c:v>3.0000000000000001E-3</c:v>
                </c:pt>
                <c:pt idx="1">
                  <c:v>1.9867205010000003E-2</c:v>
                </c:pt>
                <c:pt idx="2">
                  <c:v>3.0000000000000001E-3</c:v>
                </c:pt>
                <c:pt idx="3">
                  <c:v>1.4147706168999996E-2</c:v>
                </c:pt>
                <c:pt idx="4">
                  <c:v>3.0000000000000001E-3</c:v>
                </c:pt>
                <c:pt idx="5">
                  <c:v>2.2023738039999997E-2</c:v>
                </c:pt>
                <c:pt idx="6">
                  <c:v>3.0000000000000001E-3</c:v>
                </c:pt>
                <c:pt idx="7">
                  <c:v>1.6140735598000003E-2</c:v>
                </c:pt>
                <c:pt idx="8">
                  <c:v>2.4800000000000004E-3</c:v>
                </c:pt>
                <c:pt idx="9">
                  <c:v>3.3195864502000003E-2</c:v>
                </c:pt>
                <c:pt idx="10">
                  <c:v>2.0799999999999998E-3</c:v>
                </c:pt>
                <c:pt idx="11">
                  <c:v>5.1584207075239998E-3</c:v>
                </c:pt>
                <c:pt idx="12">
                  <c:v>2.5000000000000001E-3</c:v>
                </c:pt>
                <c:pt idx="13">
                  <c:v>4.0009021330000005E-2</c:v>
                </c:pt>
                <c:pt idx="14">
                  <c:v>3.0000000000000001E-3</c:v>
                </c:pt>
                <c:pt idx="15">
                  <c:v>5.0705272290000006E-2</c:v>
                </c:pt>
                <c:pt idx="16">
                  <c:v>3.0000000000000001E-3</c:v>
                </c:pt>
                <c:pt idx="17">
                  <c:v>3.8287763489999994E-2</c:v>
                </c:pt>
                <c:pt idx="18">
                  <c:v>3.0000000000000001E-3</c:v>
                </c:pt>
                <c:pt idx="19">
                  <c:v>9.7923420271000011E-2</c:v>
                </c:pt>
                <c:pt idx="20">
                  <c:v>3.0000000000000001E-3</c:v>
                </c:pt>
                <c:pt idx="21">
                  <c:v>8.9573800569000009E-2</c:v>
                </c:pt>
                <c:pt idx="22">
                  <c:v>0.01</c:v>
                </c:pt>
                <c:pt idx="23">
                  <c:v>0.28488069182307696</c:v>
                </c:pt>
                <c:pt idx="24">
                  <c:v>6.0000000000000001E-3</c:v>
                </c:pt>
                <c:pt idx="25">
                  <c:v>0.12815948619400003</c:v>
                </c:pt>
                <c:pt idx="26">
                  <c:v>6.0000000000000001E-3</c:v>
                </c:pt>
                <c:pt idx="27">
                  <c:v>0.20724683825999998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FC-AE44-8B9B-7FDEB9AD2044}"/>
            </c:ext>
          </c:extLst>
        </c:ser>
        <c:ser>
          <c:idx val="2"/>
          <c:order val="2"/>
          <c:tx>
            <c:v>RO5_C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bg1">
                    <a:lumMod val="50000"/>
                  </a:schemeClr>
                </a:solidFill>
                <a:prstDash val="sysDash"/>
              </a:ln>
              <a:effectLst/>
            </c:spPr>
          </c:marker>
          <c:xVal>
            <c:numRef>
              <c:f>'Growth PIPT'!$C$57:$AD$57</c:f>
              <c:numCache>
                <c:formatCode>General</c:formatCode>
                <c:ptCount val="28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</c:numCache>
            </c:numRef>
          </c:xVal>
          <c:yVal>
            <c:numRef>
              <c:f>'Growth PIPT'!$C$60:$AD$60</c:f>
              <c:numCache>
                <c:formatCode>General</c:formatCode>
                <c:ptCount val="28"/>
                <c:pt idx="0">
                  <c:v>1.5E-3</c:v>
                </c:pt>
                <c:pt idx="1">
                  <c:v>0.13278264108999999</c:v>
                </c:pt>
                <c:pt idx="2">
                  <c:v>1E-3</c:v>
                </c:pt>
                <c:pt idx="3">
                  <c:v>0.14488968944900005</c:v>
                </c:pt>
                <c:pt idx="4">
                  <c:v>1E-3</c:v>
                </c:pt>
                <c:pt idx="5">
                  <c:v>0.14711608540000001</c:v>
                </c:pt>
                <c:pt idx="6">
                  <c:v>5.0000000000000001E-4</c:v>
                </c:pt>
                <c:pt idx="7">
                  <c:v>4.9110750718000001E-2</c:v>
                </c:pt>
                <c:pt idx="8">
                  <c:v>5.0000000000000001E-4</c:v>
                </c:pt>
                <c:pt idx="9">
                  <c:v>6.0684889541999992E-2</c:v>
                </c:pt>
                <c:pt idx="10">
                  <c:v>5.0000000000000001E-4</c:v>
                </c:pt>
                <c:pt idx="11">
                  <c:v>8.9832491872540013E-2</c:v>
                </c:pt>
                <c:pt idx="12">
                  <c:v>5.0000000000000001E-4</c:v>
                </c:pt>
                <c:pt idx="13">
                  <c:v>8.4302583730000019E-2</c:v>
                </c:pt>
                <c:pt idx="14">
                  <c:v>5.0000000000000001E-4</c:v>
                </c:pt>
                <c:pt idx="15">
                  <c:v>6.3228766690000021E-2</c:v>
                </c:pt>
                <c:pt idx="16">
                  <c:v>5.0000000000000001E-4</c:v>
                </c:pt>
                <c:pt idx="17">
                  <c:v>5.5791967489999997E-2</c:v>
                </c:pt>
                <c:pt idx="18">
                  <c:v>5.0000000000000001E-4</c:v>
                </c:pt>
                <c:pt idx="19">
                  <c:v>8.8128960270999993E-2</c:v>
                </c:pt>
                <c:pt idx="20">
                  <c:v>5.0000000000000001E-4</c:v>
                </c:pt>
                <c:pt idx="21">
                  <c:v>6.6508375768999983E-2</c:v>
                </c:pt>
                <c:pt idx="22">
                  <c:v>5.0000000000000001E-4</c:v>
                </c:pt>
                <c:pt idx="23">
                  <c:v>7.9200974899999999E-2</c:v>
                </c:pt>
                <c:pt idx="24">
                  <c:v>5.0000000000000001E-4</c:v>
                </c:pt>
                <c:pt idx="25">
                  <c:v>4.5676378994000004E-2</c:v>
                </c:pt>
                <c:pt idx="26">
                  <c:v>1E-3</c:v>
                </c:pt>
                <c:pt idx="27">
                  <c:v>0.12593239505999995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FC-AE44-8B9B-7FDEB9AD2044}"/>
            </c:ext>
          </c:extLst>
        </c:ser>
        <c:ser>
          <c:idx val="3"/>
          <c:order val="3"/>
          <c:tx>
            <c:v>RO5_Cu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'Growth PIPT'!$C$57:$AD$57</c:f>
              <c:numCache>
                <c:formatCode>General</c:formatCode>
                <c:ptCount val="28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</c:numCache>
            </c:numRef>
          </c:xVal>
          <c:yVal>
            <c:numRef>
              <c:f>'Growth PIPT'!$C$61:$AD$61</c:f>
              <c:numCache>
                <c:formatCode>General</c:formatCode>
                <c:ptCount val="28"/>
                <c:pt idx="0">
                  <c:v>3.0000000000000001E-3</c:v>
                </c:pt>
                <c:pt idx="1">
                  <c:v>2.7175789090000006E-2</c:v>
                </c:pt>
                <c:pt idx="2">
                  <c:v>3.0000000000000001E-3</c:v>
                </c:pt>
                <c:pt idx="3">
                  <c:v>1.4397773448999998E-2</c:v>
                </c:pt>
                <c:pt idx="4">
                  <c:v>3.0000000000000001E-3</c:v>
                </c:pt>
                <c:pt idx="5">
                  <c:v>1.1856966000000019E-3</c:v>
                </c:pt>
                <c:pt idx="6">
                  <c:v>3.0000000000000001E-3</c:v>
                </c:pt>
                <c:pt idx="7">
                  <c:v>-8.847401999999456E-6</c:v>
                </c:pt>
                <c:pt idx="8">
                  <c:v>3.0000000000000001E-3</c:v>
                </c:pt>
                <c:pt idx="9">
                  <c:v>6.5915647420000008E-3</c:v>
                </c:pt>
                <c:pt idx="10">
                  <c:v>3.0000000000000001E-3</c:v>
                </c:pt>
                <c:pt idx="11">
                  <c:v>3.6411358725399988E-3</c:v>
                </c:pt>
                <c:pt idx="12">
                  <c:v>3.0000000000000001E-3</c:v>
                </c:pt>
                <c:pt idx="13">
                  <c:v>3.5252133299999997E-3</c:v>
                </c:pt>
                <c:pt idx="14">
                  <c:v>1.5E-3</c:v>
                </c:pt>
                <c:pt idx="15">
                  <c:v>1.1832746900000005E-3</c:v>
                </c:pt>
                <c:pt idx="16">
                  <c:v>1.5E-3</c:v>
                </c:pt>
                <c:pt idx="17">
                  <c:v>2.0043119489999997E-2</c:v>
                </c:pt>
                <c:pt idx="18">
                  <c:v>3.0000000000000001E-3</c:v>
                </c:pt>
                <c:pt idx="19">
                  <c:v>5.9875376271000008E-2</c:v>
                </c:pt>
                <c:pt idx="20">
                  <c:v>3.0000000000000001E-3</c:v>
                </c:pt>
                <c:pt idx="21">
                  <c:v>6.9817087769000002E-2</c:v>
                </c:pt>
                <c:pt idx="22">
                  <c:v>0.01</c:v>
                </c:pt>
                <c:pt idx="23">
                  <c:v>0.1422720989</c:v>
                </c:pt>
                <c:pt idx="24">
                  <c:v>6.0000000000000001E-3</c:v>
                </c:pt>
                <c:pt idx="25">
                  <c:v>6.1682778993999994E-2</c:v>
                </c:pt>
                <c:pt idx="26">
                  <c:v>6.0000000000000001E-3</c:v>
                </c:pt>
                <c:pt idx="27">
                  <c:v>9.4198431060000018E-2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FC-AE44-8B9B-7FDEB9AD2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68384"/>
        <c:axId val="266770688"/>
      </c:scatterChart>
      <c:valAx>
        <c:axId val="266768384"/>
        <c:scaling>
          <c:orientation val="minMax"/>
          <c:max val="4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solidFill>
                      <a:sysClr val="windowText" lastClr="000000"/>
                    </a:solidFill>
                  </a:rPr>
                  <a:t>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70688"/>
        <c:crossesAt val="1.0000000000000003E-4"/>
        <c:crossBetween val="midCat"/>
        <c:majorUnit val="10"/>
      </c:valAx>
      <c:valAx>
        <c:axId val="266770688"/>
        <c:scaling>
          <c:logBase val="10"/>
          <c:orientation val="minMax"/>
          <c:max val="1"/>
          <c:min val="1.0000000000000003E-4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ln>
                      <a:noFill/>
                    </a:ln>
                    <a:solidFill>
                      <a:sysClr val="windowText" lastClr="000000"/>
                    </a:solidFill>
                  </a:rPr>
                  <a:t>Culture density (RFU)</a:t>
                </a:r>
              </a:p>
            </c:rich>
          </c:tx>
          <c:layout>
            <c:manualLayout>
              <c:xMode val="edge"/>
              <c:yMode val="edge"/>
              <c:x val="0"/>
              <c:y val="2.4691823760595454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68384"/>
        <c:crossesAt val="1.0000000000000003E-4"/>
        <c:crossBetween val="midCat"/>
        <c:majorUnit val="1"/>
      </c:valAx>
      <c:spPr>
        <a:noFill/>
        <a:ln>
          <a:solidFill>
            <a:schemeClr val="tx1">
              <a:lumMod val="85000"/>
              <a:lumOff val="1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300">
          <a:solidFill>
            <a:schemeClr val="tx1">
              <a:lumMod val="85000"/>
              <a:lumOff val="1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sv-SE"/>
              <a:t>GP</a:t>
            </a:r>
          </a:p>
        </c:rich>
      </c:tx>
      <c:layout>
        <c:manualLayout>
          <c:xMode val="edge"/>
          <c:yMode val="edge"/>
          <c:x val="0.17318335670825033"/>
          <c:y val="4.5308322155342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0.1234566195747607"/>
          <c:y val="3.1117819289873398E-2"/>
          <c:w val="0.83815479369991164"/>
          <c:h val="0.7771525536890574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[4]Summary!$E$73:$R$73</c:f>
                <c:numCache>
                  <c:formatCode>General</c:formatCode>
                  <c:ptCount val="14"/>
                  <c:pt idx="0">
                    <c:v>5.2533431896057976E-2</c:v>
                  </c:pt>
                  <c:pt idx="1">
                    <c:v>8.9936273781582532E-2</c:v>
                  </c:pt>
                  <c:pt idx="2">
                    <c:v>0.15725344832627461</c:v>
                  </c:pt>
                  <c:pt idx="3">
                    <c:v>1.6553581352581895E-2</c:v>
                  </c:pt>
                  <c:pt idx="4">
                    <c:v>7.175714969465187E-2</c:v>
                  </c:pt>
                  <c:pt idx="5">
                    <c:v>5.0957187972952692E-2</c:v>
                  </c:pt>
                  <c:pt idx="6">
                    <c:v>4.9135592567129134E-2</c:v>
                  </c:pt>
                  <c:pt idx="7">
                    <c:v>5.0050696076888959E-2</c:v>
                  </c:pt>
                  <c:pt idx="8">
                    <c:v>6.8405084979005187E-2</c:v>
                  </c:pt>
                  <c:pt idx="9">
                    <c:v>4.0782614106876391E-2</c:v>
                  </c:pt>
                  <c:pt idx="10">
                    <c:v>7.4260960245244437E-2</c:v>
                  </c:pt>
                  <c:pt idx="11">
                    <c:v>4.0328037979756759E-2</c:v>
                  </c:pt>
                  <c:pt idx="12">
                    <c:v>2.7046562330842953E-2</c:v>
                  </c:pt>
                  <c:pt idx="13">
                    <c:v>6.3434146548568215E-2</c:v>
                  </c:pt>
                </c:numCache>
              </c:numRef>
            </c:plus>
            <c:minus>
              <c:numRef>
                <c:f>[4]Summary!$E$73:$R$73</c:f>
                <c:numCache>
                  <c:formatCode>General</c:formatCode>
                  <c:ptCount val="14"/>
                  <c:pt idx="0">
                    <c:v>5.2533431896057976E-2</c:v>
                  </c:pt>
                  <c:pt idx="1">
                    <c:v>8.9936273781582532E-2</c:v>
                  </c:pt>
                  <c:pt idx="2">
                    <c:v>0.15725344832627461</c:v>
                  </c:pt>
                  <c:pt idx="3">
                    <c:v>1.6553581352581895E-2</c:v>
                  </c:pt>
                  <c:pt idx="4">
                    <c:v>7.175714969465187E-2</c:v>
                  </c:pt>
                  <c:pt idx="5">
                    <c:v>5.0957187972952692E-2</c:v>
                  </c:pt>
                  <c:pt idx="6">
                    <c:v>4.9135592567129134E-2</c:v>
                  </c:pt>
                  <c:pt idx="7">
                    <c:v>5.0050696076888959E-2</c:v>
                  </c:pt>
                  <c:pt idx="8">
                    <c:v>6.8405084979005187E-2</c:v>
                  </c:pt>
                  <c:pt idx="9">
                    <c:v>4.0782614106876391E-2</c:v>
                  </c:pt>
                  <c:pt idx="10">
                    <c:v>7.4260960245244437E-2</c:v>
                  </c:pt>
                  <c:pt idx="11">
                    <c:v>4.0328037979756759E-2</c:v>
                  </c:pt>
                  <c:pt idx="12">
                    <c:v>2.7046562330842953E-2</c:v>
                  </c:pt>
                  <c:pt idx="13">
                    <c:v>6.3434146548568215E-2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'Growth PIPT'!$C$57:$AD$57</c:f>
              <c:numCache>
                <c:formatCode>General</c:formatCode>
                <c:ptCount val="28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</c:numCache>
            </c:numRef>
          </c:xVal>
          <c:yVal>
            <c:numRef>
              <c:f>'Growth PIPT'!$C$79:$AD$79</c:f>
              <c:numCache>
                <c:formatCode>General</c:formatCode>
                <c:ptCount val="28"/>
                <c:pt idx="0">
                  <c:v>1.5E-3</c:v>
                </c:pt>
                <c:pt idx="1">
                  <c:v>0.14276952842000001</c:v>
                </c:pt>
                <c:pt idx="2">
                  <c:v>1.5E-3</c:v>
                </c:pt>
                <c:pt idx="3">
                  <c:v>0.26836685260999998</c:v>
                </c:pt>
                <c:pt idx="4">
                  <c:v>1.5E-3</c:v>
                </c:pt>
                <c:pt idx="5">
                  <c:v>0.27078042923000001</c:v>
                </c:pt>
                <c:pt idx="6">
                  <c:v>1.5E-3</c:v>
                </c:pt>
                <c:pt idx="7">
                  <c:v>0.20029634289999998</c:v>
                </c:pt>
                <c:pt idx="8">
                  <c:v>1.5E-3</c:v>
                </c:pt>
                <c:pt idx="9">
                  <c:v>0.35772584867000001</c:v>
                </c:pt>
                <c:pt idx="10">
                  <c:v>1.5E-3</c:v>
                </c:pt>
                <c:pt idx="11">
                  <c:v>0.42644260599</c:v>
                </c:pt>
                <c:pt idx="12">
                  <c:v>1.5E-3</c:v>
                </c:pt>
                <c:pt idx="13">
                  <c:v>0.30385824149999996</c:v>
                </c:pt>
                <c:pt idx="14">
                  <c:v>5.0000000000000001E-4</c:v>
                </c:pt>
                <c:pt idx="15">
                  <c:v>0.16730033971160002</c:v>
                </c:pt>
                <c:pt idx="16">
                  <c:v>5.0000000000000001E-4</c:v>
                </c:pt>
                <c:pt idx="17">
                  <c:v>0.17430461730000002</c:v>
                </c:pt>
                <c:pt idx="18">
                  <c:v>5.0000000000000001E-4</c:v>
                </c:pt>
                <c:pt idx="19">
                  <c:v>0.15188561295800002</c:v>
                </c:pt>
                <c:pt idx="20">
                  <c:v>5.0000000000000001E-4</c:v>
                </c:pt>
                <c:pt idx="21">
                  <c:v>0.13793944457000001</c:v>
                </c:pt>
                <c:pt idx="22">
                  <c:v>5.0000000000000001E-4</c:v>
                </c:pt>
                <c:pt idx="23">
                  <c:v>0.15852229028000001</c:v>
                </c:pt>
                <c:pt idx="24">
                  <c:v>5.0000000000000001E-4</c:v>
                </c:pt>
                <c:pt idx="25">
                  <c:v>0.13225711735000001</c:v>
                </c:pt>
                <c:pt idx="26">
                  <c:v>5.0000000000000001E-4</c:v>
                </c:pt>
                <c:pt idx="27">
                  <c:v>0.13626516589900001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4C-FD45-9323-844B1094015B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[4]Summary!$E$74:$R$74</c:f>
                <c:numCache>
                  <c:formatCode>General</c:formatCode>
                  <c:ptCount val="14"/>
                  <c:pt idx="0">
                    <c:v>3.0632485704719305E-2</c:v>
                  </c:pt>
                  <c:pt idx="1">
                    <c:v>0.15058205837943928</c:v>
                  </c:pt>
                  <c:pt idx="2">
                    <c:v>0.21175631010267881</c:v>
                  </c:pt>
                  <c:pt idx="3">
                    <c:v>0.19972872152653742</c:v>
                  </c:pt>
                  <c:pt idx="4">
                    <c:v>9.4452231520109245E-2</c:v>
                  </c:pt>
                  <c:pt idx="5">
                    <c:v>0.40732097834319214</c:v>
                  </c:pt>
                  <c:pt idx="6">
                    <c:v>0.12542449795567451</c:v>
                  </c:pt>
                  <c:pt idx="7">
                    <c:v>0.20040823650146064</c:v>
                  </c:pt>
                  <c:pt idx="8">
                    <c:v>0.14044297659423691</c:v>
                  </c:pt>
                  <c:pt idx="9">
                    <c:v>0.19214880569124257</c:v>
                  </c:pt>
                  <c:pt idx="10">
                    <c:v>0.13671484172139045</c:v>
                  </c:pt>
                  <c:pt idx="11">
                    <c:v>0.12784915264133179</c:v>
                  </c:pt>
                  <c:pt idx="12">
                    <c:v>0.12898955397718195</c:v>
                  </c:pt>
                  <c:pt idx="13">
                    <c:v>0.132246209578055</c:v>
                  </c:pt>
                </c:numCache>
              </c:numRef>
            </c:plus>
            <c:minus>
              <c:numRef>
                <c:f>[4]Summary!$E$74:$R$74</c:f>
                <c:numCache>
                  <c:formatCode>General</c:formatCode>
                  <c:ptCount val="14"/>
                  <c:pt idx="0">
                    <c:v>3.0632485704719305E-2</c:v>
                  </c:pt>
                  <c:pt idx="1">
                    <c:v>0.15058205837943928</c:v>
                  </c:pt>
                  <c:pt idx="2">
                    <c:v>0.21175631010267881</c:v>
                  </c:pt>
                  <c:pt idx="3">
                    <c:v>0.19972872152653742</c:v>
                  </c:pt>
                  <c:pt idx="4">
                    <c:v>9.4452231520109245E-2</c:v>
                  </c:pt>
                  <c:pt idx="5">
                    <c:v>0.40732097834319214</c:v>
                  </c:pt>
                  <c:pt idx="6">
                    <c:v>0.12542449795567451</c:v>
                  </c:pt>
                  <c:pt idx="7">
                    <c:v>0.20040823650146064</c:v>
                  </c:pt>
                  <c:pt idx="8">
                    <c:v>0.14044297659423691</c:v>
                  </c:pt>
                  <c:pt idx="9">
                    <c:v>0.19214880569124257</c:v>
                  </c:pt>
                  <c:pt idx="10">
                    <c:v>0.13671484172139045</c:v>
                  </c:pt>
                  <c:pt idx="11">
                    <c:v>0.12784915264133179</c:v>
                  </c:pt>
                  <c:pt idx="12">
                    <c:v>0.12898955397718195</c:v>
                  </c:pt>
                  <c:pt idx="13">
                    <c:v>0.132246209578055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'Growth PIPT'!$C$57:$AD$57</c:f>
              <c:numCache>
                <c:formatCode>General</c:formatCode>
                <c:ptCount val="28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</c:numCache>
            </c:numRef>
          </c:xVal>
          <c:yVal>
            <c:numRef>
              <c:f>'Growth PIPT'!$C$80:$AD$80</c:f>
              <c:numCache>
                <c:formatCode>General</c:formatCode>
                <c:ptCount val="28"/>
                <c:pt idx="0">
                  <c:v>1.5E-3</c:v>
                </c:pt>
                <c:pt idx="1">
                  <c:v>1.1829506020000002E-2</c:v>
                </c:pt>
                <c:pt idx="2">
                  <c:v>1.5E-3</c:v>
                </c:pt>
                <c:pt idx="3">
                  <c:v>6.0283255700000005E-3</c:v>
                </c:pt>
                <c:pt idx="4">
                  <c:v>1.3749999999999999E-3</c:v>
                </c:pt>
                <c:pt idx="5">
                  <c:v>5.85963635E-3</c:v>
                </c:pt>
                <c:pt idx="6">
                  <c:v>1.4132712270029997E-3</c:v>
                </c:pt>
                <c:pt idx="7">
                  <c:v>5.5831253799999998E-3</c:v>
                </c:pt>
                <c:pt idx="8">
                  <c:v>1.4741835850000001E-3</c:v>
                </c:pt>
                <c:pt idx="9">
                  <c:v>9.0424759069999999E-2</c:v>
                </c:pt>
                <c:pt idx="10">
                  <c:v>1.5E-3</c:v>
                </c:pt>
                <c:pt idx="11">
                  <c:v>6.168249479E-2</c:v>
                </c:pt>
                <c:pt idx="12">
                  <c:v>1.5E-3</c:v>
                </c:pt>
                <c:pt idx="13">
                  <c:v>3.2881494060000002E-2</c:v>
                </c:pt>
                <c:pt idx="14">
                  <c:v>3.0000000000000001E-3</c:v>
                </c:pt>
                <c:pt idx="15">
                  <c:v>0.1947703261116</c:v>
                </c:pt>
                <c:pt idx="16">
                  <c:v>3.0000000000000001E-3</c:v>
                </c:pt>
                <c:pt idx="17">
                  <c:v>0.12249858529999999</c:v>
                </c:pt>
                <c:pt idx="18">
                  <c:v>3.0000000000000001E-3</c:v>
                </c:pt>
                <c:pt idx="19">
                  <c:v>5.2448585437999996E-2</c:v>
                </c:pt>
                <c:pt idx="20">
                  <c:v>3.0000000000000001E-3</c:v>
                </c:pt>
                <c:pt idx="21">
                  <c:v>6.001455017E-2</c:v>
                </c:pt>
                <c:pt idx="22">
                  <c:v>3.0000000000000001E-3</c:v>
                </c:pt>
                <c:pt idx="23">
                  <c:v>1.1103117495384614E-2</c:v>
                </c:pt>
                <c:pt idx="24">
                  <c:v>2.1999999999999997E-3</c:v>
                </c:pt>
                <c:pt idx="25">
                  <c:v>0.15162854295</c:v>
                </c:pt>
                <c:pt idx="26">
                  <c:v>3.0000000000000001E-3</c:v>
                </c:pt>
                <c:pt idx="27">
                  <c:v>3.1163503499E-2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4C-FD45-9323-844B1094015B}"/>
            </c:ext>
          </c:extLst>
        </c:ser>
        <c:ser>
          <c:idx val="2"/>
          <c:order val="2"/>
          <c:spPr>
            <a:ln w="19050" cap="rnd">
              <a:solidFill>
                <a:schemeClr val="dk1">
                  <a:tint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bg1">
                    <a:lumMod val="50000"/>
                  </a:schemeClr>
                </a:solidFill>
                <a:prstDash val="sysDash"/>
              </a:ln>
              <a:effectLst/>
            </c:spPr>
          </c:marker>
          <c:dPt>
            <c:idx val="1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bg1">
                      <a:lumMod val="65000"/>
                    </a:schemeClr>
                  </a:solidFill>
                  <a:prstDash val="sysDash"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D4C-FD45-9323-844B1094015B}"/>
              </c:ext>
            </c:extLst>
          </c:dPt>
          <c:xVal>
            <c:numRef>
              <c:f>'Growth PIPT'!$C$57:$AD$57</c:f>
              <c:numCache>
                <c:formatCode>General</c:formatCode>
                <c:ptCount val="28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</c:numCache>
            </c:numRef>
          </c:xVal>
          <c:yVal>
            <c:numRef>
              <c:f>'Growth PIPT'!$C$81:$AD$81</c:f>
              <c:numCache>
                <c:formatCode>General</c:formatCode>
                <c:ptCount val="28"/>
                <c:pt idx="0">
                  <c:v>1.5E-3</c:v>
                </c:pt>
                <c:pt idx="1">
                  <c:v>9.8520649220000006E-2</c:v>
                </c:pt>
                <c:pt idx="2">
                  <c:v>1.5E-3</c:v>
                </c:pt>
                <c:pt idx="3">
                  <c:v>0.13790834861000001</c:v>
                </c:pt>
                <c:pt idx="4">
                  <c:v>1.5E-3</c:v>
                </c:pt>
                <c:pt idx="5">
                  <c:v>0.38790168923000007</c:v>
                </c:pt>
                <c:pt idx="6">
                  <c:v>1.5E-3</c:v>
                </c:pt>
                <c:pt idx="7">
                  <c:v>0.21177747889999995</c:v>
                </c:pt>
                <c:pt idx="8">
                  <c:v>1.5E-3</c:v>
                </c:pt>
                <c:pt idx="9">
                  <c:v>0.22658836866999998</c:v>
                </c:pt>
                <c:pt idx="10">
                  <c:v>1.5E-3</c:v>
                </c:pt>
                <c:pt idx="11">
                  <c:v>0.40242890999000008</c:v>
                </c:pt>
                <c:pt idx="12">
                  <c:v>1.5E-3</c:v>
                </c:pt>
                <c:pt idx="13">
                  <c:v>0.87004337749999994</c:v>
                </c:pt>
                <c:pt idx="14">
                  <c:v>5.0000000000000001E-4</c:v>
                </c:pt>
                <c:pt idx="15">
                  <c:v>0.1063514725116</c:v>
                </c:pt>
                <c:pt idx="16">
                  <c:v>5.0000000000000001E-4</c:v>
                </c:pt>
                <c:pt idx="17">
                  <c:v>0.21905762770000003</c:v>
                </c:pt>
                <c:pt idx="18">
                  <c:v>5.0000000000000001E-4</c:v>
                </c:pt>
                <c:pt idx="19">
                  <c:v>0.14551114415799998</c:v>
                </c:pt>
                <c:pt idx="20">
                  <c:v>5.0000000000000001E-4</c:v>
                </c:pt>
                <c:pt idx="21">
                  <c:v>0.13210196217</c:v>
                </c:pt>
                <c:pt idx="22">
                  <c:v>5.0000000000000001E-4</c:v>
                </c:pt>
                <c:pt idx="23">
                  <c:v>0.17531653747999998</c:v>
                </c:pt>
                <c:pt idx="24">
                  <c:v>5.0000000000000001E-4</c:v>
                </c:pt>
                <c:pt idx="25">
                  <c:v>0.13562566135000001</c:v>
                </c:pt>
                <c:pt idx="26">
                  <c:v>5.0000000000000001E-4</c:v>
                </c:pt>
                <c:pt idx="27">
                  <c:v>0.11569241389900001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4C-FD45-9323-844B1094015B}"/>
            </c:ext>
          </c:extLst>
        </c:ser>
        <c:ser>
          <c:idx val="3"/>
          <c:order val="3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'Growth PIPT'!$C$57:$AD$57</c:f>
              <c:numCache>
                <c:formatCode>General</c:formatCode>
                <c:ptCount val="28"/>
                <c:pt idx="0">
                  <c:v>0.125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  <c:pt idx="17">
                  <c:v>27</c:v>
                </c:pt>
                <c:pt idx="18">
                  <c:v>27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33</c:v>
                </c:pt>
                <c:pt idx="23">
                  <c:v>36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42</c:v>
                </c:pt>
              </c:numCache>
            </c:numRef>
          </c:xVal>
          <c:yVal>
            <c:numRef>
              <c:f>'Growth PIPT'!$C$82:$AD$82</c:f>
              <c:numCache>
                <c:formatCode>General</c:formatCode>
                <c:ptCount val="28"/>
                <c:pt idx="0">
                  <c:v>1.5E-3</c:v>
                </c:pt>
                <c:pt idx="1">
                  <c:v>1.6036526420000006E-2</c:v>
                </c:pt>
                <c:pt idx="2">
                  <c:v>1.5E-3</c:v>
                </c:pt>
                <c:pt idx="3">
                  <c:v>1.0281453409999999E-2</c:v>
                </c:pt>
                <c:pt idx="4">
                  <c:v>1.5E-3</c:v>
                </c:pt>
                <c:pt idx="5">
                  <c:v>2.449762523E-2</c:v>
                </c:pt>
                <c:pt idx="6">
                  <c:v>1.5E-3</c:v>
                </c:pt>
                <c:pt idx="7">
                  <c:v>1.0705317299999996E-2</c:v>
                </c:pt>
                <c:pt idx="8">
                  <c:v>1.5E-3</c:v>
                </c:pt>
                <c:pt idx="9">
                  <c:v>8.2997548670000004E-2</c:v>
                </c:pt>
                <c:pt idx="10">
                  <c:v>1.5E-3</c:v>
                </c:pt>
                <c:pt idx="11">
                  <c:v>0.16265672998999997</c:v>
                </c:pt>
                <c:pt idx="12">
                  <c:v>1.5E-3</c:v>
                </c:pt>
                <c:pt idx="13">
                  <c:v>7.4579085499999989E-2</c:v>
                </c:pt>
                <c:pt idx="14">
                  <c:v>3.0000000000000001E-3</c:v>
                </c:pt>
                <c:pt idx="15">
                  <c:v>0.20578361651160004</c:v>
                </c:pt>
                <c:pt idx="16">
                  <c:v>3.0000000000000001E-3</c:v>
                </c:pt>
                <c:pt idx="17">
                  <c:v>0.16920466770000001</c:v>
                </c:pt>
                <c:pt idx="18">
                  <c:v>3.0000000000000001E-3</c:v>
                </c:pt>
                <c:pt idx="19">
                  <c:v>0.14253956415799998</c:v>
                </c:pt>
                <c:pt idx="20">
                  <c:v>3.0000000000000001E-3</c:v>
                </c:pt>
                <c:pt idx="21">
                  <c:v>5.0186670170000003E-2</c:v>
                </c:pt>
                <c:pt idx="22">
                  <c:v>3.0000000000000001E-3</c:v>
                </c:pt>
                <c:pt idx="23">
                  <c:v>4.6588845479999988E-2</c:v>
                </c:pt>
                <c:pt idx="24">
                  <c:v>3.0000000000000001E-3</c:v>
                </c:pt>
                <c:pt idx="25">
                  <c:v>0.16208114134999996</c:v>
                </c:pt>
                <c:pt idx="26">
                  <c:v>3.0000000000000001E-3</c:v>
                </c:pt>
                <c:pt idx="27">
                  <c:v>3.0513641898999997E-2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4C-FD45-9323-844B10940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68384"/>
        <c:axId val="266770688"/>
      </c:scatterChart>
      <c:valAx>
        <c:axId val="266768384"/>
        <c:scaling>
          <c:orientation val="minMax"/>
          <c:max val="4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solidFill>
                      <a:sysClr val="windowText" lastClr="000000"/>
                    </a:solidFill>
                  </a:rPr>
                  <a:t>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70688"/>
        <c:crossesAt val="1.0000000000000003E-4"/>
        <c:crossBetween val="midCat"/>
        <c:majorUnit val="10"/>
      </c:valAx>
      <c:valAx>
        <c:axId val="266770688"/>
        <c:scaling>
          <c:logBase val="10"/>
          <c:orientation val="minMax"/>
          <c:max val="1"/>
          <c:min val="1.0000000000000003E-4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ln>
                      <a:noFill/>
                    </a:ln>
                    <a:solidFill>
                      <a:sysClr val="windowText" lastClr="000000"/>
                    </a:solidFill>
                  </a:rPr>
                  <a:t>Culture density (RFU)</a:t>
                </a:r>
              </a:p>
            </c:rich>
          </c:tx>
          <c:layout>
            <c:manualLayout>
              <c:xMode val="edge"/>
              <c:yMode val="edge"/>
              <c:x val="0"/>
              <c:y val="2.4691823760595454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68384"/>
        <c:crossesAt val="1.0000000000000003E-4"/>
        <c:crossBetween val="midCat"/>
        <c:majorUnit val="1"/>
      </c:valAx>
      <c:spPr>
        <a:noFill/>
        <a:ln>
          <a:solidFill>
            <a:schemeClr val="tx1">
              <a:lumMod val="85000"/>
              <a:lumOff val="1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300">
          <a:solidFill>
            <a:schemeClr val="tx1">
              <a:lumMod val="85000"/>
              <a:lumOff val="1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sv-SE"/>
              <a:t>GP</a:t>
            </a:r>
          </a:p>
        </c:rich>
      </c:tx>
      <c:layout>
        <c:manualLayout>
          <c:xMode val="edge"/>
          <c:yMode val="edge"/>
          <c:x val="0.17318335670825033"/>
          <c:y val="4.5308322155342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0.1234566195747607"/>
          <c:y val="3.1117819289873398E-2"/>
          <c:w val="0.83815479369991164"/>
          <c:h val="0.7771525536890574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PIPT'!$C$117:$X$117</c:f>
              <c:numCache>
                <c:formatCode>General</c:formatCode>
                <c:ptCount val="22"/>
                <c:pt idx="0">
                  <c:v>0.64818181818181841</c:v>
                </c:pt>
                <c:pt idx="1">
                  <c:v>0.66200000000000003</c:v>
                </c:pt>
                <c:pt idx="2">
                  <c:v>0.63400000000000001</c:v>
                </c:pt>
                <c:pt idx="3">
                  <c:v>0.65200000000000002</c:v>
                </c:pt>
                <c:pt idx="4">
                  <c:v>0.64799999999999991</c:v>
                </c:pt>
                <c:pt idx="5">
                  <c:v>0.65400000000000014</c:v>
                </c:pt>
                <c:pt idx="6">
                  <c:v>0.63600000000000001</c:v>
                </c:pt>
                <c:pt idx="7">
                  <c:v>0.63800000000000012</c:v>
                </c:pt>
                <c:pt idx="8">
                  <c:v>0.64666666666666661</c:v>
                </c:pt>
                <c:pt idx="9">
                  <c:v>0.63200000000000001</c:v>
                </c:pt>
                <c:pt idx="10">
                  <c:v>0.64400000000000002</c:v>
                </c:pt>
                <c:pt idx="11">
                  <c:v>0.628</c:v>
                </c:pt>
                <c:pt idx="12">
                  <c:v>0.63400000000000001</c:v>
                </c:pt>
                <c:pt idx="13">
                  <c:v>0.65400000000000003</c:v>
                </c:pt>
                <c:pt idx="14">
                  <c:v>0.65400000000000014</c:v>
                </c:pt>
                <c:pt idx="15">
                  <c:v>0.624</c:v>
                </c:pt>
                <c:pt idx="16">
                  <c:v>0.64800000000000002</c:v>
                </c:pt>
                <c:pt idx="17">
                  <c:v>0.64799999999999991</c:v>
                </c:pt>
                <c:pt idx="18">
                  <c:v>0.65400000000000003</c:v>
                </c:pt>
                <c:pt idx="19">
                  <c:v>0.64600000000000002</c:v>
                </c:pt>
                <c:pt idx="20">
                  <c:v>0.64600000000000002</c:v>
                </c:pt>
                <c:pt idx="21">
                  <c:v>0.66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2-A34F-A8B1-FA2168AFF0A1}"/>
            </c:ext>
          </c:extLst>
        </c:ser>
        <c:ser>
          <c:idx val="1"/>
          <c:order val="1"/>
          <c:spPr>
            <a:ln w="19050" cap="rnd">
              <a:solidFill>
                <a:schemeClr val="dk1">
                  <a:tint val="5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PIPT'!$C$118:$X$118</c:f>
              <c:numCache>
                <c:formatCode>General</c:formatCode>
                <c:ptCount val="22"/>
                <c:pt idx="0">
                  <c:v>0.64818181818181841</c:v>
                </c:pt>
                <c:pt idx="2">
                  <c:v>0.59599999999999997</c:v>
                </c:pt>
                <c:pt idx="3">
                  <c:v>0.63200000000000001</c:v>
                </c:pt>
                <c:pt idx="4">
                  <c:v>0.64</c:v>
                </c:pt>
                <c:pt idx="5">
                  <c:v>0.67333333333333334</c:v>
                </c:pt>
                <c:pt idx="6">
                  <c:v>0.6</c:v>
                </c:pt>
                <c:pt idx="7">
                  <c:v>0.60399999999999987</c:v>
                </c:pt>
                <c:pt idx="10">
                  <c:v>0.61333333333333329</c:v>
                </c:pt>
                <c:pt idx="11">
                  <c:v>0.63800000000000001</c:v>
                </c:pt>
                <c:pt idx="12">
                  <c:v>0.626</c:v>
                </c:pt>
                <c:pt idx="13">
                  <c:v>0.64400000000000002</c:v>
                </c:pt>
                <c:pt idx="14">
                  <c:v>0.65200000000000002</c:v>
                </c:pt>
                <c:pt idx="15">
                  <c:v>0.59399999999999997</c:v>
                </c:pt>
                <c:pt idx="16">
                  <c:v>0.63600000000000001</c:v>
                </c:pt>
                <c:pt idx="17">
                  <c:v>0.64400000000000002</c:v>
                </c:pt>
                <c:pt idx="18">
                  <c:v>0.65800000000000003</c:v>
                </c:pt>
                <c:pt idx="19">
                  <c:v>0.64200000000000013</c:v>
                </c:pt>
                <c:pt idx="20">
                  <c:v>0.63800000000000001</c:v>
                </c:pt>
                <c:pt idx="21">
                  <c:v>0.66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C2-A34F-A8B1-FA2168AFF0A1}"/>
            </c:ext>
          </c:extLst>
        </c:ser>
        <c:ser>
          <c:idx val="2"/>
          <c:order val="2"/>
          <c:spPr>
            <a:ln w="19050" cap="rnd">
              <a:solidFill>
                <a:schemeClr val="dk1">
                  <a:tint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bg1">
                    <a:lumMod val="50000"/>
                  </a:schemeClr>
                </a:solidFill>
                <a:prstDash val="sysDash"/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PIPT'!$C$119:$X$119</c:f>
              <c:numCache>
                <c:formatCode>General</c:formatCode>
                <c:ptCount val="22"/>
                <c:pt idx="0">
                  <c:v>0.62</c:v>
                </c:pt>
                <c:pt idx="1">
                  <c:v>0.63</c:v>
                </c:pt>
                <c:pt idx="2">
                  <c:v>0.63</c:v>
                </c:pt>
                <c:pt idx="3">
                  <c:v>0.66</c:v>
                </c:pt>
                <c:pt idx="4">
                  <c:v>0.67</c:v>
                </c:pt>
                <c:pt idx="5">
                  <c:v>0.66</c:v>
                </c:pt>
                <c:pt idx="6">
                  <c:v>0.62</c:v>
                </c:pt>
                <c:pt idx="7">
                  <c:v>0.63</c:v>
                </c:pt>
                <c:pt idx="9">
                  <c:v>0.64</c:v>
                </c:pt>
                <c:pt idx="10">
                  <c:v>0.65</c:v>
                </c:pt>
                <c:pt idx="11">
                  <c:v>0.61</c:v>
                </c:pt>
                <c:pt idx="12">
                  <c:v>0.64</c:v>
                </c:pt>
                <c:pt idx="13">
                  <c:v>0.66</c:v>
                </c:pt>
                <c:pt idx="14">
                  <c:v>0.65</c:v>
                </c:pt>
                <c:pt idx="16">
                  <c:v>0.66</c:v>
                </c:pt>
                <c:pt idx="17">
                  <c:v>0.66</c:v>
                </c:pt>
                <c:pt idx="18">
                  <c:v>0.67</c:v>
                </c:pt>
                <c:pt idx="19">
                  <c:v>0.65</c:v>
                </c:pt>
                <c:pt idx="20">
                  <c:v>0.66</c:v>
                </c:pt>
                <c:pt idx="21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C2-A34F-A8B1-FA2168AFF0A1}"/>
            </c:ext>
          </c:extLst>
        </c:ser>
        <c:ser>
          <c:idx val="3"/>
          <c:order val="3"/>
          <c:spPr>
            <a:ln w="19050" cap="rnd">
              <a:solidFill>
                <a:schemeClr val="dk1">
                  <a:tint val="985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PIPT'!$C$120:$X$120</c:f>
              <c:numCache>
                <c:formatCode>General</c:formatCode>
                <c:ptCount val="22"/>
                <c:pt idx="0">
                  <c:v>0.62</c:v>
                </c:pt>
                <c:pt idx="2">
                  <c:v>0.6</c:v>
                </c:pt>
                <c:pt idx="3">
                  <c:v>0.65</c:v>
                </c:pt>
                <c:pt idx="4">
                  <c:v>0.68</c:v>
                </c:pt>
                <c:pt idx="7">
                  <c:v>0.64</c:v>
                </c:pt>
                <c:pt idx="13">
                  <c:v>0.64</c:v>
                </c:pt>
                <c:pt idx="14">
                  <c:v>0.64</c:v>
                </c:pt>
                <c:pt idx="15">
                  <c:v>0.62</c:v>
                </c:pt>
                <c:pt idx="16">
                  <c:v>0.64</c:v>
                </c:pt>
                <c:pt idx="17">
                  <c:v>0.66</c:v>
                </c:pt>
                <c:pt idx="18">
                  <c:v>0.66</c:v>
                </c:pt>
                <c:pt idx="19">
                  <c:v>0.66</c:v>
                </c:pt>
                <c:pt idx="20">
                  <c:v>0.66</c:v>
                </c:pt>
                <c:pt idx="21">
                  <c:v>0.66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C2-A34F-A8B1-FA2168AFF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68384"/>
        <c:axId val="266770688"/>
      </c:scatterChart>
      <c:valAx>
        <c:axId val="266768384"/>
        <c:scaling>
          <c:orientation val="minMax"/>
          <c:max val="4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solidFill>
                      <a:sysClr val="windowText" lastClr="000000"/>
                    </a:solidFill>
                  </a:rPr>
                  <a:t>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70688"/>
        <c:crosses val="autoZero"/>
        <c:crossBetween val="midCat"/>
        <c:majorUnit val="10"/>
      </c:valAx>
      <c:valAx>
        <c:axId val="26677068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ln>
                      <a:noFill/>
                    </a:ln>
                    <a:solidFill>
                      <a:sysClr val="windowText" lastClr="000000"/>
                    </a:solidFill>
                  </a:rPr>
                  <a:t>Fv/Fm</a:t>
                </a:r>
              </a:p>
            </c:rich>
          </c:tx>
          <c:layout>
            <c:manualLayout>
              <c:xMode val="edge"/>
              <c:yMode val="edge"/>
              <c:x val="0"/>
              <c:y val="2.4691823760595454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68384"/>
        <c:crossesAt val="1.0000000000000003E-4"/>
        <c:crossBetween val="midCat"/>
        <c:majorUnit val="0.2"/>
      </c:valAx>
      <c:spPr>
        <a:noFill/>
        <a:ln>
          <a:solidFill>
            <a:schemeClr val="tx1">
              <a:lumMod val="85000"/>
              <a:lumOff val="1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300">
          <a:solidFill>
            <a:schemeClr val="tx1">
              <a:lumMod val="85000"/>
              <a:lumOff val="1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sv-SE"/>
              <a:t>VG</a:t>
            </a:r>
          </a:p>
        </c:rich>
      </c:tx>
      <c:layout>
        <c:manualLayout>
          <c:xMode val="edge"/>
          <c:yMode val="edge"/>
          <c:x val="0.17318335670825033"/>
          <c:y val="4.5308322155342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0.1234566195747607"/>
          <c:y val="3.1117819289873398E-2"/>
          <c:w val="0.83815479369991164"/>
          <c:h val="0.7771525536890574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PIPT'!$C$117:$X$117</c:f>
              <c:numCache>
                <c:formatCode>General</c:formatCode>
                <c:ptCount val="22"/>
                <c:pt idx="0">
                  <c:v>0.64818181818181841</c:v>
                </c:pt>
                <c:pt idx="1">
                  <c:v>0.66200000000000003</c:v>
                </c:pt>
                <c:pt idx="2">
                  <c:v>0.63400000000000001</c:v>
                </c:pt>
                <c:pt idx="3">
                  <c:v>0.65200000000000002</c:v>
                </c:pt>
                <c:pt idx="4">
                  <c:v>0.64799999999999991</c:v>
                </c:pt>
                <c:pt idx="5">
                  <c:v>0.65400000000000014</c:v>
                </c:pt>
                <c:pt idx="6">
                  <c:v>0.63600000000000001</c:v>
                </c:pt>
                <c:pt idx="7">
                  <c:v>0.63800000000000012</c:v>
                </c:pt>
                <c:pt idx="8">
                  <c:v>0.64666666666666661</c:v>
                </c:pt>
                <c:pt idx="9">
                  <c:v>0.63200000000000001</c:v>
                </c:pt>
                <c:pt idx="10">
                  <c:v>0.64400000000000002</c:v>
                </c:pt>
                <c:pt idx="11">
                  <c:v>0.628</c:v>
                </c:pt>
                <c:pt idx="12">
                  <c:v>0.63400000000000001</c:v>
                </c:pt>
                <c:pt idx="13">
                  <c:v>0.65400000000000003</c:v>
                </c:pt>
                <c:pt idx="14">
                  <c:v>0.65400000000000014</c:v>
                </c:pt>
                <c:pt idx="15">
                  <c:v>0.624</c:v>
                </c:pt>
                <c:pt idx="16">
                  <c:v>0.64800000000000002</c:v>
                </c:pt>
                <c:pt idx="17">
                  <c:v>0.64799999999999991</c:v>
                </c:pt>
                <c:pt idx="18">
                  <c:v>0.65400000000000003</c:v>
                </c:pt>
                <c:pt idx="19">
                  <c:v>0.64600000000000002</c:v>
                </c:pt>
                <c:pt idx="20">
                  <c:v>0.64600000000000002</c:v>
                </c:pt>
                <c:pt idx="21">
                  <c:v>0.66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94-8846-ACB8-F1223B1693FC}"/>
            </c:ext>
          </c:extLst>
        </c:ser>
        <c:ser>
          <c:idx val="1"/>
          <c:order val="1"/>
          <c:spPr>
            <a:ln w="19050" cap="rnd">
              <a:solidFill>
                <a:schemeClr val="dk1">
                  <a:tint val="5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PIPT'!$C$162:$X$162</c:f>
              <c:numCache>
                <c:formatCode>General</c:formatCode>
                <c:ptCount val="22"/>
                <c:pt idx="0">
                  <c:v>0.62032258064516133</c:v>
                </c:pt>
                <c:pt idx="2">
                  <c:v>0.51</c:v>
                </c:pt>
                <c:pt idx="3">
                  <c:v>0.63200000000000001</c:v>
                </c:pt>
                <c:pt idx="4">
                  <c:v>0.66600000000000015</c:v>
                </c:pt>
                <c:pt idx="5">
                  <c:v>0.49800000000000005</c:v>
                </c:pt>
                <c:pt idx="6">
                  <c:v>0.54400000000000004</c:v>
                </c:pt>
                <c:pt idx="7">
                  <c:v>0.66400000000000003</c:v>
                </c:pt>
                <c:pt idx="8">
                  <c:v>0.55800000000000005</c:v>
                </c:pt>
                <c:pt idx="9">
                  <c:v>0.62</c:v>
                </c:pt>
                <c:pt idx="10">
                  <c:v>0.66399999999999992</c:v>
                </c:pt>
                <c:pt idx="11">
                  <c:v>0.65600000000000003</c:v>
                </c:pt>
                <c:pt idx="12">
                  <c:v>0.65400000000000003</c:v>
                </c:pt>
                <c:pt idx="13">
                  <c:v>0.66400000000000003</c:v>
                </c:pt>
                <c:pt idx="14">
                  <c:v>0.63200000000000001</c:v>
                </c:pt>
                <c:pt idx="15">
                  <c:v>0.65200000000000002</c:v>
                </c:pt>
                <c:pt idx="16">
                  <c:v>0.63800000000000012</c:v>
                </c:pt>
                <c:pt idx="17">
                  <c:v>0.64200000000000002</c:v>
                </c:pt>
                <c:pt idx="18">
                  <c:v>0.59199999999999997</c:v>
                </c:pt>
                <c:pt idx="19">
                  <c:v>0.63800000000000001</c:v>
                </c:pt>
                <c:pt idx="20">
                  <c:v>0.63800000000000001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94-8846-ACB8-F1223B1693FC}"/>
            </c:ext>
          </c:extLst>
        </c:ser>
        <c:ser>
          <c:idx val="2"/>
          <c:order val="2"/>
          <c:spPr>
            <a:ln w="19050" cap="rnd">
              <a:solidFill>
                <a:schemeClr val="dk1">
                  <a:tint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bg1">
                    <a:lumMod val="50000"/>
                  </a:schemeClr>
                </a:solidFill>
                <a:prstDash val="sysDash"/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PIPT'!$C$119:$X$119</c:f>
              <c:numCache>
                <c:formatCode>General</c:formatCode>
                <c:ptCount val="22"/>
                <c:pt idx="0">
                  <c:v>0.62</c:v>
                </c:pt>
                <c:pt idx="1">
                  <c:v>0.63</c:v>
                </c:pt>
                <c:pt idx="2">
                  <c:v>0.63</c:v>
                </c:pt>
                <c:pt idx="3">
                  <c:v>0.66</c:v>
                </c:pt>
                <c:pt idx="4">
                  <c:v>0.67</c:v>
                </c:pt>
                <c:pt idx="5">
                  <c:v>0.66</c:v>
                </c:pt>
                <c:pt idx="6">
                  <c:v>0.62</c:v>
                </c:pt>
                <c:pt idx="7">
                  <c:v>0.63</c:v>
                </c:pt>
                <c:pt idx="9">
                  <c:v>0.64</c:v>
                </c:pt>
                <c:pt idx="10">
                  <c:v>0.65</c:v>
                </c:pt>
                <c:pt idx="11">
                  <c:v>0.61</c:v>
                </c:pt>
                <c:pt idx="12">
                  <c:v>0.64</c:v>
                </c:pt>
                <c:pt idx="13">
                  <c:v>0.66</c:v>
                </c:pt>
                <c:pt idx="14">
                  <c:v>0.65</c:v>
                </c:pt>
                <c:pt idx="16">
                  <c:v>0.66</c:v>
                </c:pt>
                <c:pt idx="17">
                  <c:v>0.66</c:v>
                </c:pt>
                <c:pt idx="18">
                  <c:v>0.67</c:v>
                </c:pt>
                <c:pt idx="19">
                  <c:v>0.65</c:v>
                </c:pt>
                <c:pt idx="20">
                  <c:v>0.66</c:v>
                </c:pt>
                <c:pt idx="21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94-8846-ACB8-F1223B1693FC}"/>
            </c:ext>
          </c:extLst>
        </c:ser>
        <c:ser>
          <c:idx val="3"/>
          <c:order val="3"/>
          <c:spPr>
            <a:ln w="19050" cap="rnd">
              <a:solidFill>
                <a:schemeClr val="dk1">
                  <a:tint val="985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PIPT'!$C$164:$X$164</c:f>
              <c:numCache>
                <c:formatCode>General</c:formatCode>
                <c:ptCount val="22"/>
                <c:pt idx="0">
                  <c:v>0.63</c:v>
                </c:pt>
                <c:pt idx="3">
                  <c:v>0.63</c:v>
                </c:pt>
                <c:pt idx="4">
                  <c:v>0.7</c:v>
                </c:pt>
                <c:pt idx="5">
                  <c:v>0.64</c:v>
                </c:pt>
                <c:pt idx="6">
                  <c:v>0.61</c:v>
                </c:pt>
                <c:pt idx="7">
                  <c:v>0.65</c:v>
                </c:pt>
                <c:pt idx="8">
                  <c:v>0.63</c:v>
                </c:pt>
                <c:pt idx="9">
                  <c:v>0.64</c:v>
                </c:pt>
                <c:pt idx="10">
                  <c:v>0.68</c:v>
                </c:pt>
                <c:pt idx="11">
                  <c:v>0.67</c:v>
                </c:pt>
                <c:pt idx="12">
                  <c:v>0.67</c:v>
                </c:pt>
                <c:pt idx="13">
                  <c:v>0.68</c:v>
                </c:pt>
                <c:pt idx="14">
                  <c:v>0.66</c:v>
                </c:pt>
                <c:pt idx="15">
                  <c:v>0.64</c:v>
                </c:pt>
                <c:pt idx="16">
                  <c:v>0.66</c:v>
                </c:pt>
                <c:pt idx="17">
                  <c:v>0.66</c:v>
                </c:pt>
                <c:pt idx="18">
                  <c:v>0.65</c:v>
                </c:pt>
                <c:pt idx="19">
                  <c:v>0.67</c:v>
                </c:pt>
                <c:pt idx="20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94-8846-ACB8-F1223B169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68384"/>
        <c:axId val="266770688"/>
      </c:scatterChart>
      <c:valAx>
        <c:axId val="266768384"/>
        <c:scaling>
          <c:orientation val="minMax"/>
          <c:max val="4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solidFill>
                      <a:sysClr val="windowText" lastClr="000000"/>
                    </a:solidFill>
                  </a:rPr>
                  <a:t>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70688"/>
        <c:crosses val="autoZero"/>
        <c:crossBetween val="midCat"/>
        <c:majorUnit val="10"/>
      </c:valAx>
      <c:valAx>
        <c:axId val="26677068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ln>
                      <a:noFill/>
                    </a:ln>
                    <a:solidFill>
                      <a:sysClr val="windowText" lastClr="000000"/>
                    </a:solidFill>
                  </a:rPr>
                  <a:t>Fv/Fm</a:t>
                </a:r>
              </a:p>
            </c:rich>
          </c:tx>
          <c:layout>
            <c:manualLayout>
              <c:xMode val="edge"/>
              <c:yMode val="edge"/>
              <c:x val="0"/>
              <c:y val="2.469009393491473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68384"/>
        <c:crossesAt val="1.0000000000000003E-4"/>
        <c:crossBetween val="midCat"/>
        <c:majorUnit val="0.2"/>
      </c:valAx>
      <c:spPr>
        <a:noFill/>
        <a:ln>
          <a:solidFill>
            <a:schemeClr val="tx1">
              <a:lumMod val="85000"/>
              <a:lumOff val="1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300">
          <a:solidFill>
            <a:schemeClr val="tx1">
              <a:lumMod val="85000"/>
              <a:lumOff val="1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sv-SE"/>
              <a:t>VG</a:t>
            </a:r>
          </a:p>
        </c:rich>
      </c:tx>
      <c:layout>
        <c:manualLayout>
          <c:xMode val="edge"/>
          <c:yMode val="edge"/>
          <c:x val="0.17318335670825033"/>
          <c:y val="4.5308322155342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0.1234566195747607"/>
          <c:y val="3.1117819289873398E-2"/>
          <c:w val="0.83815479369991164"/>
          <c:h val="0.7771525536890574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PIPT'!$C$169:$X$169</c:f>
              <c:numCache>
                <c:formatCode>General</c:formatCode>
                <c:ptCount val="22"/>
                <c:pt idx="0">
                  <c:v>7.9677419354838701</c:v>
                </c:pt>
                <c:pt idx="1">
                  <c:v>7.8920000000000003</c:v>
                </c:pt>
                <c:pt idx="2">
                  <c:v>7.9179999999999993</c:v>
                </c:pt>
                <c:pt idx="3">
                  <c:v>8.0360000000000014</c:v>
                </c:pt>
                <c:pt idx="4">
                  <c:v>8.1799999999999979</c:v>
                </c:pt>
                <c:pt idx="5">
                  <c:v>8.07</c:v>
                </c:pt>
                <c:pt idx="6">
                  <c:v>8.0739999999999998</c:v>
                </c:pt>
                <c:pt idx="7">
                  <c:v>8.1719999999999988</c:v>
                </c:pt>
                <c:pt idx="8">
                  <c:v>7.9859999999999998</c:v>
                </c:pt>
                <c:pt idx="9">
                  <c:v>8.0239999999999991</c:v>
                </c:pt>
                <c:pt idx="10">
                  <c:v>8.1639999999999979</c:v>
                </c:pt>
                <c:pt idx="11">
                  <c:v>8.2080000000000002</c:v>
                </c:pt>
                <c:pt idx="12">
                  <c:v>7.9700000000000006</c:v>
                </c:pt>
                <c:pt idx="13">
                  <c:v>7.8960000000000008</c:v>
                </c:pt>
                <c:pt idx="14">
                  <c:v>7.9240000000000013</c:v>
                </c:pt>
                <c:pt idx="15">
                  <c:v>7.9359999999999999</c:v>
                </c:pt>
                <c:pt idx="16">
                  <c:v>7.9799999999999995</c:v>
                </c:pt>
                <c:pt idx="17">
                  <c:v>8.0140000000000011</c:v>
                </c:pt>
                <c:pt idx="18">
                  <c:v>8.1159999999999997</c:v>
                </c:pt>
                <c:pt idx="19">
                  <c:v>7.9240000000000013</c:v>
                </c:pt>
                <c:pt idx="20">
                  <c:v>7.9980000000000002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A-354A-B904-418B61DCD29C}"/>
            </c:ext>
          </c:extLst>
        </c:ser>
        <c:ser>
          <c:idx val="1"/>
          <c:order val="1"/>
          <c:spPr>
            <a:ln w="19050" cap="rnd">
              <a:solidFill>
                <a:schemeClr val="dk1">
                  <a:tint val="5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PIPT'!$C$170:$X$170</c:f>
              <c:numCache>
                <c:formatCode>General</c:formatCode>
                <c:ptCount val="22"/>
                <c:pt idx="0">
                  <c:v>7.9677419354838701</c:v>
                </c:pt>
                <c:pt idx="1">
                  <c:v>7.8240000000000007</c:v>
                </c:pt>
                <c:pt idx="2">
                  <c:v>7.9260000000000002</c:v>
                </c:pt>
                <c:pt idx="3" formatCode="0.00">
                  <c:v>7.9774999999999991</c:v>
                </c:pt>
                <c:pt idx="4">
                  <c:v>8.0219999999999985</c:v>
                </c:pt>
                <c:pt idx="5">
                  <c:v>8.0239999999999991</c:v>
                </c:pt>
                <c:pt idx="6">
                  <c:v>7.9899999999999993</c:v>
                </c:pt>
                <c:pt idx="7">
                  <c:v>8.0520000000000014</c:v>
                </c:pt>
                <c:pt idx="8">
                  <c:v>7.99</c:v>
                </c:pt>
                <c:pt idx="9">
                  <c:v>8.0380000000000003</c:v>
                </c:pt>
                <c:pt idx="10">
                  <c:v>8.0259999999999998</c:v>
                </c:pt>
                <c:pt idx="11">
                  <c:v>8.0719999999999992</c:v>
                </c:pt>
                <c:pt idx="12">
                  <c:v>7.9319999999999995</c:v>
                </c:pt>
                <c:pt idx="13">
                  <c:v>7.8920000000000003</c:v>
                </c:pt>
                <c:pt idx="14">
                  <c:v>7.9659999999999993</c:v>
                </c:pt>
                <c:pt idx="15">
                  <c:v>7.9139999999999997</c:v>
                </c:pt>
                <c:pt idx="16">
                  <c:v>7.9640000000000004</c:v>
                </c:pt>
                <c:pt idx="17">
                  <c:v>8.0060000000000002</c:v>
                </c:pt>
                <c:pt idx="18">
                  <c:v>7.8</c:v>
                </c:pt>
                <c:pt idx="19">
                  <c:v>7.8620000000000001</c:v>
                </c:pt>
                <c:pt idx="20">
                  <c:v>8.0380000000000003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BA-354A-B904-418B61DCD29C}"/>
            </c:ext>
          </c:extLst>
        </c:ser>
        <c:ser>
          <c:idx val="2"/>
          <c:order val="2"/>
          <c:spPr>
            <a:ln w="19050" cap="rnd">
              <a:solidFill>
                <a:schemeClr val="dk1">
                  <a:tint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bg1">
                    <a:lumMod val="50000"/>
                  </a:schemeClr>
                </a:solidFill>
                <a:prstDash val="sysDash"/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PIPT'!$C$171:$X$171</c:f>
              <c:numCache>
                <c:formatCode>General</c:formatCode>
                <c:ptCount val="22"/>
                <c:pt idx="0">
                  <c:v>8.01</c:v>
                </c:pt>
                <c:pt idx="1">
                  <c:v>7.9</c:v>
                </c:pt>
                <c:pt idx="2">
                  <c:v>7.92</c:v>
                </c:pt>
                <c:pt idx="3">
                  <c:v>8.06</c:v>
                </c:pt>
                <c:pt idx="4">
                  <c:v>8.1</c:v>
                </c:pt>
                <c:pt idx="5">
                  <c:v>8.18</c:v>
                </c:pt>
                <c:pt idx="6">
                  <c:v>8.09</c:v>
                </c:pt>
                <c:pt idx="7">
                  <c:v>8.15</c:v>
                </c:pt>
                <c:pt idx="8">
                  <c:v>8.0299999999999994</c:v>
                </c:pt>
                <c:pt idx="9">
                  <c:v>8.07</c:v>
                </c:pt>
                <c:pt idx="10">
                  <c:v>8.18</c:v>
                </c:pt>
                <c:pt idx="11">
                  <c:v>8.5299999999999994</c:v>
                </c:pt>
                <c:pt idx="12">
                  <c:v>7.79</c:v>
                </c:pt>
                <c:pt idx="13">
                  <c:v>7.89</c:v>
                </c:pt>
                <c:pt idx="14">
                  <c:v>7.99</c:v>
                </c:pt>
                <c:pt idx="15">
                  <c:v>7.96</c:v>
                </c:pt>
                <c:pt idx="16">
                  <c:v>8.01</c:v>
                </c:pt>
                <c:pt idx="17">
                  <c:v>8</c:v>
                </c:pt>
                <c:pt idx="18">
                  <c:v>7.94</c:v>
                </c:pt>
                <c:pt idx="19">
                  <c:v>7.96</c:v>
                </c:pt>
                <c:pt idx="20">
                  <c:v>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BA-354A-B904-418B61DCD29C}"/>
            </c:ext>
          </c:extLst>
        </c:ser>
        <c:ser>
          <c:idx val="3"/>
          <c:order val="3"/>
          <c:spPr>
            <a:ln w="19050" cap="rnd">
              <a:solidFill>
                <a:schemeClr val="dk1">
                  <a:tint val="985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'Growth PIPT'!$C$87:$W$87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12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</c:numCache>
            </c:numRef>
          </c:xVal>
          <c:yVal>
            <c:numRef>
              <c:f>'Growth PIPT'!$C$171:$X$171</c:f>
              <c:numCache>
                <c:formatCode>General</c:formatCode>
                <c:ptCount val="22"/>
                <c:pt idx="0">
                  <c:v>8.01</c:v>
                </c:pt>
                <c:pt idx="1">
                  <c:v>7.9</c:v>
                </c:pt>
                <c:pt idx="2">
                  <c:v>7.92</c:v>
                </c:pt>
                <c:pt idx="3">
                  <c:v>8.06</c:v>
                </c:pt>
                <c:pt idx="4">
                  <c:v>8.1</c:v>
                </c:pt>
                <c:pt idx="5">
                  <c:v>8.18</c:v>
                </c:pt>
                <c:pt idx="6">
                  <c:v>8.09</c:v>
                </c:pt>
                <c:pt idx="7">
                  <c:v>8.15</c:v>
                </c:pt>
                <c:pt idx="8">
                  <c:v>8.0299999999999994</c:v>
                </c:pt>
                <c:pt idx="9">
                  <c:v>8.07</c:v>
                </c:pt>
                <c:pt idx="10">
                  <c:v>8.18</c:v>
                </c:pt>
                <c:pt idx="11">
                  <c:v>8.5299999999999994</c:v>
                </c:pt>
                <c:pt idx="12">
                  <c:v>7.79</c:v>
                </c:pt>
                <c:pt idx="13">
                  <c:v>7.89</c:v>
                </c:pt>
                <c:pt idx="14">
                  <c:v>7.99</c:v>
                </c:pt>
                <c:pt idx="15">
                  <c:v>7.96</c:v>
                </c:pt>
                <c:pt idx="16">
                  <c:v>8.01</c:v>
                </c:pt>
                <c:pt idx="17">
                  <c:v>8</c:v>
                </c:pt>
                <c:pt idx="18">
                  <c:v>7.94</c:v>
                </c:pt>
                <c:pt idx="19">
                  <c:v>7.96</c:v>
                </c:pt>
                <c:pt idx="20">
                  <c:v>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BA-354A-B904-418B61DC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68384"/>
        <c:axId val="266770688"/>
      </c:scatterChart>
      <c:valAx>
        <c:axId val="266768384"/>
        <c:scaling>
          <c:orientation val="minMax"/>
          <c:max val="4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solidFill>
                      <a:sysClr val="windowText" lastClr="000000"/>
                    </a:solidFill>
                  </a:rPr>
                  <a:t>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70688"/>
        <c:crosses val="autoZero"/>
        <c:crossBetween val="midCat"/>
        <c:majorUnit val="10"/>
      </c:valAx>
      <c:valAx>
        <c:axId val="266770688"/>
        <c:scaling>
          <c:orientation val="minMax"/>
          <c:max val="9"/>
          <c:min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sv-SE">
                    <a:ln>
                      <a:noFill/>
                    </a:ln>
                    <a:solidFill>
                      <a:sysClr val="windowText" lastClr="000000"/>
                    </a:solidFill>
                  </a:rPr>
                  <a:t>Ph</a:t>
                </a:r>
              </a:p>
            </c:rich>
          </c:tx>
          <c:layout>
            <c:manualLayout>
              <c:xMode val="edge"/>
              <c:yMode val="edge"/>
              <c:x val="0"/>
              <c:y val="2.4691823760595454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v-SE"/>
          </a:p>
        </c:txPr>
        <c:crossAx val="266768384"/>
        <c:crossesAt val="1.0000000000000003E-4"/>
        <c:crossBetween val="midCat"/>
        <c:majorUnit val="0.2"/>
      </c:valAx>
      <c:spPr>
        <a:noFill/>
        <a:ln>
          <a:solidFill>
            <a:schemeClr val="tx1">
              <a:lumMod val="85000"/>
              <a:lumOff val="1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300">
          <a:solidFill>
            <a:schemeClr val="tx1">
              <a:lumMod val="85000"/>
              <a:lumOff val="1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1.emf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145475</xdr:colOff>
      <xdr:row>0</xdr:row>
      <xdr:rowOff>0</xdr:rowOff>
    </xdr:from>
    <xdr:to>
      <xdr:col>15</xdr:col>
      <xdr:colOff>766290</xdr:colOff>
      <xdr:row>17</xdr:row>
      <xdr:rowOff>57016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65626FF9-8937-DD46-A7BB-116266D96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330200</xdr:colOff>
      <xdr:row>0</xdr:row>
      <xdr:rowOff>0</xdr:rowOff>
    </xdr:from>
    <xdr:to>
      <xdr:col>20</xdr:col>
      <xdr:colOff>131291</xdr:colOff>
      <xdr:row>16</xdr:row>
      <xdr:rowOff>215879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A6D23773-0473-9944-B133-BBDD8ABF5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53</xdr:row>
      <xdr:rowOff>0</xdr:rowOff>
    </xdr:from>
    <xdr:to>
      <xdr:col>24</xdr:col>
      <xdr:colOff>451255</xdr:colOff>
      <xdr:row>66</xdr:row>
      <xdr:rowOff>121325</xdr:rowOff>
    </xdr:to>
    <xdr:pic>
      <xdr:nvPicPr>
        <xdr:cNvPr id="4" name="Bildobjekt 3">
          <a:extLst>
            <a:ext uri="{FF2B5EF4-FFF2-40B4-BE49-F238E27FC236}">
              <a16:creationId xmlns:a16="http://schemas.microsoft.com/office/drawing/2014/main" id="{605F2C87-35FF-8D4A-87F0-041B4317A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42400" y="10655300"/>
          <a:ext cx="4578755" cy="276292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53</xdr:row>
      <xdr:rowOff>0</xdr:rowOff>
    </xdr:from>
    <xdr:to>
      <xdr:col>24</xdr:col>
      <xdr:colOff>451255</xdr:colOff>
      <xdr:row>66</xdr:row>
      <xdr:rowOff>121325</xdr:rowOff>
    </xdr:to>
    <xdr:pic>
      <xdr:nvPicPr>
        <xdr:cNvPr id="5" name="Bildobjekt 4">
          <a:extLst>
            <a:ext uri="{FF2B5EF4-FFF2-40B4-BE49-F238E27FC236}">
              <a16:creationId xmlns:a16="http://schemas.microsoft.com/office/drawing/2014/main" id="{22767794-D20C-2444-A120-774F66499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42400" y="10655300"/>
          <a:ext cx="4578755" cy="2762925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44</xdr:row>
      <xdr:rowOff>0</xdr:rowOff>
    </xdr:from>
    <xdr:to>
      <xdr:col>14</xdr:col>
      <xdr:colOff>806584</xdr:colOff>
      <xdr:row>57</xdr:row>
      <xdr:rowOff>115111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5DDBB07D-9481-AD4E-BFC3-094789541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28914</xdr:colOff>
      <xdr:row>44</xdr:row>
      <xdr:rowOff>1350</xdr:rowOff>
    </xdr:from>
    <xdr:to>
      <xdr:col>19</xdr:col>
      <xdr:colOff>9998</xdr:colOff>
      <xdr:row>57</xdr:row>
      <xdr:rowOff>156993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534C90CF-7AFC-5046-9862-1A31765873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183575</xdr:colOff>
      <xdr:row>17</xdr:row>
      <xdr:rowOff>88900</xdr:rowOff>
    </xdr:from>
    <xdr:to>
      <xdr:col>15</xdr:col>
      <xdr:colOff>804389</xdr:colOff>
      <xdr:row>34</xdr:row>
      <xdr:rowOff>158617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932964D6-58A0-8749-8AB8-6E874F722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355600</xdr:colOff>
      <xdr:row>17</xdr:row>
      <xdr:rowOff>48661</xdr:rowOff>
    </xdr:from>
    <xdr:to>
      <xdr:col>20</xdr:col>
      <xdr:colOff>156690</xdr:colOff>
      <xdr:row>34</xdr:row>
      <xdr:rowOff>35939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69385D4F-4576-9A40-9EFB-06EA8E749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812800</xdr:colOff>
      <xdr:row>58</xdr:row>
      <xdr:rowOff>0</xdr:rowOff>
    </xdr:from>
    <xdr:to>
      <xdr:col>14</xdr:col>
      <xdr:colOff>793884</xdr:colOff>
      <xdr:row>71</xdr:row>
      <xdr:rowOff>115111</xdr:rowOff>
    </xdr:to>
    <xdr:graphicFrame macro="">
      <xdr:nvGraphicFramePr>
        <xdr:cNvPr id="10" name="Diagram 9">
          <a:extLst>
            <a:ext uri="{FF2B5EF4-FFF2-40B4-BE49-F238E27FC236}">
              <a16:creationId xmlns:a16="http://schemas.microsoft.com/office/drawing/2014/main" id="{C6B14BB8-03C5-404D-ADEC-186AE3839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54314</xdr:colOff>
      <xdr:row>58</xdr:row>
      <xdr:rowOff>39450</xdr:rowOff>
    </xdr:from>
    <xdr:to>
      <xdr:col>19</xdr:col>
      <xdr:colOff>35398</xdr:colOff>
      <xdr:row>71</xdr:row>
      <xdr:rowOff>195093</xdr:rowOff>
    </xdr:to>
    <xdr:graphicFrame macro="">
      <xdr:nvGraphicFramePr>
        <xdr:cNvPr id="11" name="Diagram 10">
          <a:extLst>
            <a:ext uri="{FF2B5EF4-FFF2-40B4-BE49-F238E27FC236}">
              <a16:creationId xmlns:a16="http://schemas.microsoft.com/office/drawing/2014/main" id="{5E589D3F-36A4-0F42-BAF6-3B972DCDC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16</xdr:row>
      <xdr:rowOff>101600</xdr:rowOff>
    </xdr:from>
    <xdr:to>
      <xdr:col>22</xdr:col>
      <xdr:colOff>542653</xdr:colOff>
      <xdr:row>30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14F8F84F-44A5-134D-A3F3-21C83018F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571500</xdr:colOff>
      <xdr:row>16</xdr:row>
      <xdr:rowOff>114300</xdr:rowOff>
    </xdr:from>
    <xdr:to>
      <xdr:col>17</xdr:col>
      <xdr:colOff>178944</xdr:colOff>
      <xdr:row>30</xdr:row>
      <xdr:rowOff>79337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F493BF5A-7819-474D-ADFC-7B1903C9F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0</xdr:colOff>
      <xdr:row>46</xdr:row>
      <xdr:rowOff>0</xdr:rowOff>
    </xdr:from>
    <xdr:to>
      <xdr:col>37</xdr:col>
      <xdr:colOff>549518</xdr:colOff>
      <xdr:row>59</xdr:row>
      <xdr:rowOff>28623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1EB17AEF-0981-AE4B-A809-CB68764E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635000</xdr:colOff>
      <xdr:row>30</xdr:row>
      <xdr:rowOff>177800</xdr:rowOff>
    </xdr:from>
    <xdr:to>
      <xdr:col>17</xdr:col>
      <xdr:colOff>242444</xdr:colOff>
      <xdr:row>44</xdr:row>
      <xdr:rowOff>142837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1E2AE8A6-4851-594F-A24B-3B6BCC4D6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165100</xdr:colOff>
      <xdr:row>31</xdr:row>
      <xdr:rowOff>12700</xdr:rowOff>
    </xdr:from>
    <xdr:to>
      <xdr:col>22</xdr:col>
      <xdr:colOff>598044</xdr:colOff>
      <xdr:row>44</xdr:row>
      <xdr:rowOff>180937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505253E7-11B8-5342-9297-CA5B2919B0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474338</xdr:colOff>
      <xdr:row>46</xdr:row>
      <xdr:rowOff>122409</xdr:rowOff>
    </xdr:from>
    <xdr:to>
      <xdr:col>23</xdr:col>
      <xdr:colOff>81017</xdr:colOff>
      <xdr:row>60</xdr:row>
      <xdr:rowOff>91730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82FB3F77-3CF2-D442-913B-A1A8D15C5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443734</xdr:colOff>
      <xdr:row>41</xdr:row>
      <xdr:rowOff>61204</xdr:rowOff>
    </xdr:from>
    <xdr:to>
      <xdr:col>12</xdr:col>
      <xdr:colOff>50412</xdr:colOff>
      <xdr:row>55</xdr:row>
      <xdr:rowOff>30526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A2ACF759-4E76-B442-9BE0-744150DA1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703855</xdr:colOff>
      <xdr:row>55</xdr:row>
      <xdr:rowOff>76506</xdr:rowOff>
    </xdr:from>
    <xdr:to>
      <xdr:col>17</xdr:col>
      <xdr:colOff>310534</xdr:colOff>
      <xdr:row>69</xdr:row>
      <xdr:rowOff>45827</xdr:rowOff>
    </xdr:to>
    <xdr:graphicFrame macro="">
      <xdr:nvGraphicFramePr>
        <xdr:cNvPr id="10" name="Diagram 9">
          <a:extLst>
            <a:ext uri="{FF2B5EF4-FFF2-40B4-BE49-F238E27FC236}">
              <a16:creationId xmlns:a16="http://schemas.microsoft.com/office/drawing/2014/main" id="{70850F0C-380B-0E45-950F-360D9F07E7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anbjg/Dropbox/PhD_AnnaGodhe/BjornsDATA/20190107_PICT_VG/PAM/20181018VG_PAM_summar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anbjg/Dropbox/PhD_AnnaGodhe/BjornsDATA/20181009_PICT_GP/PAM/20181018_PAM_summary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anbjg/Dropbox/PhD_AnnaGodhe/BjornsDATA/20181009_PICT_GP/20181008_PICT_GP_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anbjg/Dropbox/PhD_AnnaGodhe/BjornsDATA/20190107_PICT_VG/20190128_PICT_VG1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CT_Continous"/>
      <sheetName val="Summary"/>
      <sheetName val="Raw dataShort_t39"/>
      <sheetName val="Cleaned upShort_t39"/>
      <sheetName val="Raw dataShort_t24"/>
      <sheetName val="Cleaned upShort_t24"/>
      <sheetName val="Raw dataShort_t3"/>
      <sheetName val="Cleaned upShort_t3"/>
    </sheetNames>
    <sheetDataSet>
      <sheetData sheetId="0"/>
      <sheetData sheetId="1">
        <row r="1">
          <cell r="AA1" t="str">
            <v>t3</v>
          </cell>
          <cell r="AB1" t="str">
            <v>t24</v>
          </cell>
          <cell r="AC1" t="str">
            <v>t39</v>
          </cell>
        </row>
        <row r="2">
          <cell r="B2" t="str">
            <v>Cu t3</v>
          </cell>
          <cell r="C2">
            <v>0.61</v>
          </cell>
          <cell r="D2">
            <v>0.56000000000000005</v>
          </cell>
          <cell r="E2">
            <v>0.46333333333333332</v>
          </cell>
          <cell r="F2">
            <v>0.11333333333333334</v>
          </cell>
          <cell r="I2">
            <v>1.9999999999999962E-2</v>
          </cell>
          <cell r="J2">
            <v>2.0816659994661313E-2</v>
          </cell>
          <cell r="K2">
            <v>5.5075705472860982E-2</v>
          </cell>
          <cell r="Z2" t="str">
            <v>Control</v>
          </cell>
          <cell r="AA2">
            <v>-0.17292022803509113</v>
          </cell>
          <cell r="AB2">
            <v>-0.17090074852807535</v>
          </cell>
          <cell r="AC2">
            <v>-0.17380301008271168</v>
          </cell>
          <cell r="AE2">
            <v>2.0343588374783145E-2</v>
          </cell>
          <cell r="AF2">
            <v>1.0521975459135321E-2</v>
          </cell>
          <cell r="AG2">
            <v>3.4901871325276677E-3</v>
          </cell>
        </row>
        <row r="3">
          <cell r="B3" t="str">
            <v>Cu t21</v>
          </cell>
          <cell r="C3">
            <v>0.61</v>
          </cell>
          <cell r="D3">
            <v>0.55666666666666664</v>
          </cell>
          <cell r="E3">
            <v>0.50666666666666671</v>
          </cell>
          <cell r="F3">
            <v>0.27</v>
          </cell>
          <cell r="I3">
            <v>1.1547005383792462E-2</v>
          </cell>
          <cell r="J3">
            <v>5.7735026918962623E-3</v>
          </cell>
          <cell r="K3">
            <v>5.2915026221291649E-2</v>
          </cell>
          <cell r="Z3" t="str">
            <v>Cu</v>
          </cell>
          <cell r="AA3">
            <v>-0.15601029876321287</v>
          </cell>
          <cell r="AB3">
            <v>-0.11073999317751629</v>
          </cell>
          <cell r="AC3">
            <v>-8.1795589460464932E-2</v>
          </cell>
          <cell r="AE3">
            <v>1.9740088781505283E-2</v>
          </cell>
          <cell r="AF3">
            <v>1.3709416348087932E-2</v>
          </cell>
          <cell r="AG3">
            <v>2.643124678423845E-2</v>
          </cell>
        </row>
        <row r="4">
          <cell r="B4" t="str">
            <v>Cu t39</v>
          </cell>
          <cell r="C4">
            <v>0.61</v>
          </cell>
          <cell r="D4">
            <v>0.56333333333333335</v>
          </cell>
          <cell r="E4">
            <v>0.52</v>
          </cell>
          <cell r="F4">
            <v>0.28666666666666668</v>
          </cell>
          <cell r="I4">
            <v>5.7735026918961981E-3</v>
          </cell>
          <cell r="J4">
            <v>2.0000000000000018E-2</v>
          </cell>
          <cell r="K4">
            <v>9.0737717258774789E-2</v>
          </cell>
          <cell r="Z4" t="str">
            <v>RO5_C</v>
          </cell>
          <cell r="AA4">
            <v>-0.13339943269982935</v>
          </cell>
          <cell r="AB4">
            <v>-8.368376542057239E-2</v>
          </cell>
          <cell r="AC4">
            <v>-8.8396425752185481E-2</v>
          </cell>
        </row>
        <row r="5">
          <cell r="B5" t="str">
            <v>C t3</v>
          </cell>
          <cell r="C5">
            <v>0.61</v>
          </cell>
          <cell r="D5">
            <v>0.52333333333333332</v>
          </cell>
          <cell r="E5">
            <v>0.36333333333333334</v>
          </cell>
          <cell r="F5">
            <v>9.3333333333333338E-2</v>
          </cell>
          <cell r="I5">
            <v>2.0816659994661344E-2</v>
          </cell>
          <cell r="J5">
            <v>2.0816659994661313E-2</v>
          </cell>
          <cell r="K5">
            <v>5.8594652770823138E-2</v>
          </cell>
          <cell r="Z5" t="str">
            <v>RO5_Cu</v>
          </cell>
          <cell r="AA5">
            <v>-6.8298377996301951E-2</v>
          </cell>
          <cell r="AB5">
            <v>-7.0112107016044742E-2</v>
          </cell>
          <cell r="AC5">
            <v>-7.2446094299596739E-2</v>
          </cell>
        </row>
        <row r="6">
          <cell r="B6" t="str">
            <v>C t21</v>
          </cell>
          <cell r="C6">
            <v>0.61</v>
          </cell>
          <cell r="D6">
            <v>0.53333333333333333</v>
          </cell>
          <cell r="E6">
            <v>0.35666666666666669</v>
          </cell>
          <cell r="F6">
            <v>7.6666666666666675E-2</v>
          </cell>
          <cell r="I6">
            <v>1.527525231651948E-2</v>
          </cell>
          <cell r="J6">
            <v>4.6188021535169918E-2</v>
          </cell>
          <cell r="K6">
            <v>3.5118845842842458E-2</v>
          </cell>
        </row>
        <row r="7">
          <cell r="B7" t="str">
            <v>C t39</v>
          </cell>
          <cell r="C7">
            <v>0.61</v>
          </cell>
          <cell r="D7">
            <v>0.54333333333333333</v>
          </cell>
          <cell r="E7">
            <v>0.40333333333333332</v>
          </cell>
          <cell r="F7">
            <v>0.06</v>
          </cell>
          <cell r="Z7" t="str">
            <v>Control</v>
          </cell>
          <cell r="AA7">
            <v>0.28347578366408382</v>
          </cell>
          <cell r="AB7">
            <v>0.280165161521435</v>
          </cell>
          <cell r="AC7">
            <v>0.2849229673487077</v>
          </cell>
        </row>
        <row r="8">
          <cell r="Z8" t="str">
            <v>Cu</v>
          </cell>
          <cell r="AA8">
            <v>0.25575458813641455</v>
          </cell>
          <cell r="AB8">
            <v>0.18154097242215786</v>
          </cell>
          <cell r="AC8">
            <v>0.13409113026305727</v>
          </cell>
        </row>
        <row r="9">
          <cell r="B9" t="str">
            <v>RO5 Cu t3</v>
          </cell>
          <cell r="C9">
            <v>0.61</v>
          </cell>
          <cell r="D9">
            <v>0.52</v>
          </cell>
          <cell r="E9">
            <v>0.51</v>
          </cell>
          <cell r="F9">
            <v>0.38</v>
          </cell>
          <cell r="Z9" t="str">
            <v>RO5_C</v>
          </cell>
          <cell r="AA9">
            <v>0.21868759458988418</v>
          </cell>
          <cell r="AB9">
            <v>0.13718650068946295</v>
          </cell>
          <cell r="AC9">
            <v>0.14491217336423851</v>
          </cell>
        </row>
        <row r="10">
          <cell r="B10" t="str">
            <v>RO5 Cu t21</v>
          </cell>
          <cell r="C10">
            <v>0.61</v>
          </cell>
          <cell r="D10">
            <v>0.53</v>
          </cell>
          <cell r="E10">
            <v>0.54</v>
          </cell>
          <cell r="F10">
            <v>0.37</v>
          </cell>
          <cell r="Z10" t="str">
            <v>RO5_Cu</v>
          </cell>
          <cell r="AA10">
            <v>0.11196455409229829</v>
          </cell>
          <cell r="AB10">
            <v>0.11493788035417171</v>
          </cell>
          <cell r="AC10">
            <v>0.11876408901573236</v>
          </cell>
        </row>
        <row r="11">
          <cell r="B11" t="str">
            <v>RO5 Cu t39</v>
          </cell>
          <cell r="C11">
            <v>0.61</v>
          </cell>
          <cell r="D11">
            <v>0.56000000000000005</v>
          </cell>
          <cell r="E11">
            <v>0.53</v>
          </cell>
          <cell r="F11">
            <v>0.37</v>
          </cell>
        </row>
        <row r="12">
          <cell r="B12" t="str">
            <v>RO5 C t3</v>
          </cell>
          <cell r="C12">
            <v>0.61</v>
          </cell>
          <cell r="D12">
            <v>0.42</v>
          </cell>
          <cell r="E12">
            <v>0.38</v>
          </cell>
          <cell r="F12">
            <v>0.16</v>
          </cell>
        </row>
        <row r="13">
          <cell r="B13" t="str">
            <v>RO5 C t21</v>
          </cell>
          <cell r="C13">
            <v>0.61</v>
          </cell>
          <cell r="D13">
            <v>0.51</v>
          </cell>
          <cell r="E13">
            <v>0.45</v>
          </cell>
          <cell r="F13">
            <v>0.32</v>
          </cell>
        </row>
        <row r="14">
          <cell r="B14" t="str">
            <v>RO5 C t39</v>
          </cell>
          <cell r="C14">
            <v>0.61</v>
          </cell>
          <cell r="D14">
            <v>0.56000000000000005</v>
          </cell>
          <cell r="E14">
            <v>0.45</v>
          </cell>
          <cell r="F14">
            <v>0.32</v>
          </cell>
        </row>
        <row r="15">
          <cell r="C15">
            <v>0</v>
          </cell>
          <cell r="D15">
            <v>0.39993055555555468</v>
          </cell>
          <cell r="E15">
            <v>1.046180555555555</v>
          </cell>
          <cell r="F15">
            <v>2.9704513888888884</v>
          </cell>
        </row>
        <row r="16">
          <cell r="C16">
            <v>0</v>
          </cell>
          <cell r="D16">
            <v>0.36315972222222193</v>
          </cell>
          <cell r="E16">
            <v>1.1008680555555557</v>
          </cell>
          <cell r="F16">
            <v>3.0999999999999996</v>
          </cell>
        </row>
        <row r="17">
          <cell r="C17">
            <v>0</v>
          </cell>
          <cell r="D17">
            <v>0.41624999999999912</v>
          </cell>
          <cell r="E17">
            <v>1.1036458333333328</v>
          </cell>
          <cell r="F17">
            <v>3.1915972222222218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CT_Continous"/>
      <sheetName val="Summary"/>
      <sheetName val="Raw dataShort_t39"/>
      <sheetName val="Cleaned upShort_t39"/>
      <sheetName val="Raw dataShort_t21"/>
      <sheetName val="Cleaned upShort_t21"/>
      <sheetName val="Raw dataShort_t3"/>
      <sheetName val="Cleaned upShort_t3"/>
    </sheetNames>
    <sheetDataSet>
      <sheetData sheetId="0"/>
      <sheetData sheetId="1">
        <row r="1">
          <cell r="BJ1" t="str">
            <v>t3</v>
          </cell>
          <cell r="BK1" t="str">
            <v>t21</v>
          </cell>
          <cell r="BL1" t="str">
            <v>t38</v>
          </cell>
        </row>
        <row r="2">
          <cell r="S2" t="str">
            <v>Cu t3</v>
          </cell>
          <cell r="T2">
            <v>0.61</v>
          </cell>
          <cell r="U2">
            <v>0.61</v>
          </cell>
          <cell r="V2">
            <v>0.45333333333333331</v>
          </cell>
          <cell r="W2">
            <v>0.17171157485326249</v>
          </cell>
          <cell r="Y2"/>
          <cell r="Z2">
            <v>1.0000000000000009E-2</v>
          </cell>
          <cell r="AA2">
            <v>1.5275252316519449E-2</v>
          </cell>
          <cell r="AB2">
            <v>1.8562004694663591E-2</v>
          </cell>
          <cell r="BI2" t="str">
            <v>Control</v>
          </cell>
          <cell r="BJ2">
            <v>-0.18090070628542676</v>
          </cell>
          <cell r="BK2">
            <v>-0.16906625491997207</v>
          </cell>
          <cell r="BL2">
            <v>-0.18439173639100756</v>
          </cell>
          <cell r="BN2">
            <v>1.9513929767624328E-2</v>
          </cell>
          <cell r="BO2">
            <v>1.2477973135794466E-2</v>
          </cell>
          <cell r="BP2">
            <v>1.3152306714979412E-3</v>
          </cell>
        </row>
        <row r="3">
          <cell r="S3" t="str">
            <v>Cu t21</v>
          </cell>
          <cell r="T3">
            <v>0.61</v>
          </cell>
          <cell r="U3">
            <v>0.56333333333333335</v>
          </cell>
          <cell r="V3">
            <v>0.47333333333333333</v>
          </cell>
          <cell r="W3">
            <v>0.27540791940722437</v>
          </cell>
          <cell r="Y3"/>
          <cell r="Z3">
            <v>2.5166114784235794E-2</v>
          </cell>
          <cell r="AA3">
            <v>3.5118845842842465E-2</v>
          </cell>
          <cell r="AB3">
            <v>4.3141950754627845E-2</v>
          </cell>
          <cell r="BI3" t="str">
            <v>Cu</v>
          </cell>
          <cell r="BJ3">
            <v>-0.16491152459768962</v>
          </cell>
          <cell r="BK3">
            <v>-0.10021911380655948</v>
          </cell>
          <cell r="BL3">
            <v>-0.12586546640546489</v>
          </cell>
          <cell r="BN3">
            <v>1.0105106130190854E-3</v>
          </cell>
          <cell r="BO3">
            <v>2.2525950571032159E-2</v>
          </cell>
          <cell r="BP3">
            <v>2.461762717581881E-2</v>
          </cell>
        </row>
        <row r="4">
          <cell r="S4" t="str">
            <v>Cu t39</v>
          </cell>
          <cell r="T4">
            <v>0.61</v>
          </cell>
          <cell r="U4">
            <v>0.57000000000000006</v>
          </cell>
          <cell r="V4">
            <v>0.5</v>
          </cell>
          <cell r="W4">
            <v>0.28814994156897505</v>
          </cell>
          <cell r="Y4"/>
          <cell r="Z4">
            <v>4.3588989435406712E-2</v>
          </cell>
          <cell r="AA4">
            <v>4.5825756949558413E-2</v>
          </cell>
          <cell r="AB4">
            <v>6.3221296725909398E-2</v>
          </cell>
          <cell r="BI4" t="str">
            <v>RO5_C</v>
          </cell>
          <cell r="BJ4"/>
          <cell r="BK4">
            <v>-0.1284824329988872</v>
          </cell>
          <cell r="BL4">
            <v>-0.16600397800323305</v>
          </cell>
        </row>
        <row r="5">
          <cell r="S5" t="str">
            <v>C t3</v>
          </cell>
          <cell r="T5">
            <v>0.61</v>
          </cell>
          <cell r="U5">
            <v>0.58000000000000007</v>
          </cell>
          <cell r="V5">
            <v>0.38000000000000006</v>
          </cell>
          <cell r="W5">
            <v>0.1033444303814512</v>
          </cell>
          <cell r="Y5"/>
          <cell r="Z5">
            <v>1.9999999999999962E-2</v>
          </cell>
          <cell r="AA5">
            <v>1.0000000000000009E-2</v>
          </cell>
          <cell r="AB5">
            <v>2.9254976355277809E-2</v>
          </cell>
          <cell r="BI5" t="str">
            <v>RO5_Cu</v>
          </cell>
          <cell r="BJ5"/>
          <cell r="BK5">
            <v>-6.0520749592279696E-2</v>
          </cell>
          <cell r="BL5">
            <v>-7.8693079505354285E-2</v>
          </cell>
        </row>
        <row r="6">
          <cell r="S6" t="str">
            <v>C t21</v>
          </cell>
          <cell r="T6">
            <v>0.61</v>
          </cell>
          <cell r="U6">
            <v>0.53333333333333333</v>
          </cell>
          <cell r="V6">
            <v>0.3666666666666667</v>
          </cell>
          <cell r="W6">
            <v>6.0156259266663688E-2</v>
          </cell>
          <cell r="Y6"/>
          <cell r="Z6">
            <v>1.527525231651948E-2</v>
          </cell>
          <cell r="AA6">
            <v>1.1547005383792525E-2</v>
          </cell>
          <cell r="AB6">
            <v>3.1049501278723118E-2</v>
          </cell>
        </row>
        <row r="7">
          <cell r="S7" t="str">
            <v>C t39</v>
          </cell>
          <cell r="T7">
            <v>0.61</v>
          </cell>
          <cell r="U7">
            <v>0.55333333333333334</v>
          </cell>
          <cell r="V7">
            <v>0.40333333333333332</v>
          </cell>
          <cell r="W7">
            <v>0.12002539976536358</v>
          </cell>
          <cell r="BI7" t="str">
            <v>Control</v>
          </cell>
          <cell r="BJ7">
            <v>0.29655853489414224</v>
          </cell>
          <cell r="BK7">
            <v>0.27715779495077392</v>
          </cell>
          <cell r="BL7">
            <v>0.30228153506722549</v>
          </cell>
        </row>
        <row r="8">
          <cell r="BI8" t="str">
            <v>Cu</v>
          </cell>
          <cell r="BJ8">
            <v>0.27034676163555676</v>
          </cell>
          <cell r="BK8">
            <v>0.16429362919108112</v>
          </cell>
          <cell r="BL8">
            <v>0.20633683017289328</v>
          </cell>
        </row>
        <row r="9">
          <cell r="S9" t="str">
            <v>RO5 Cu t3</v>
          </cell>
          <cell r="T9"/>
          <cell r="U9"/>
          <cell r="V9"/>
          <cell r="W9"/>
          <cell r="BI9" t="str">
            <v>RO5_C</v>
          </cell>
          <cell r="BJ9">
            <v>0</v>
          </cell>
          <cell r="BK9">
            <v>0.21062693934243804</v>
          </cell>
          <cell r="BL9">
            <v>0.27213766885775909</v>
          </cell>
        </row>
        <row r="10">
          <cell r="S10" t="str">
            <v>RO5 Cu t21</v>
          </cell>
          <cell r="T10">
            <v>0.61</v>
          </cell>
          <cell r="U10">
            <v>0.59</v>
          </cell>
          <cell r="V10">
            <v>0.5</v>
          </cell>
          <cell r="W10">
            <v>0.40058479532163743</v>
          </cell>
          <cell r="BI10" t="str">
            <v>RO5_Cu</v>
          </cell>
          <cell r="BJ10">
            <v>0</v>
          </cell>
          <cell r="BK10">
            <v>9.9214343593901147E-2</v>
          </cell>
          <cell r="BL10">
            <v>0.12900504836943325</v>
          </cell>
        </row>
        <row r="11">
          <cell r="S11" t="str">
            <v>RO5 Cu t39</v>
          </cell>
          <cell r="T11">
            <v>0.61</v>
          </cell>
          <cell r="U11">
            <v>0.55000000000000004</v>
          </cell>
          <cell r="V11">
            <v>0.51</v>
          </cell>
          <cell r="W11">
            <v>0.35883905013192613</v>
          </cell>
        </row>
        <row r="12">
          <cell r="S12" t="str">
            <v>RO5 C t3</v>
          </cell>
          <cell r="T12"/>
          <cell r="U12"/>
          <cell r="V12"/>
          <cell r="W12"/>
        </row>
        <row r="13">
          <cell r="S13" t="str">
            <v>RO5 C t21</v>
          </cell>
          <cell r="T13">
            <v>0.61</v>
          </cell>
          <cell r="U13">
            <v>0.44</v>
          </cell>
          <cell r="V13">
            <v>0.23</v>
          </cell>
          <cell r="W13">
            <v>9.8379629629629636E-2</v>
          </cell>
        </row>
        <row r="14">
          <cell r="S14" t="str">
            <v>RO5 C t39</v>
          </cell>
          <cell r="T14">
            <v>0.61</v>
          </cell>
          <cell r="U14">
            <v>0.54</v>
          </cell>
          <cell r="V14">
            <v>0.39</v>
          </cell>
          <cell r="W14">
            <v>0.12883435582822086</v>
          </cell>
        </row>
        <row r="15">
          <cell r="T15">
            <v>0</v>
          </cell>
          <cell r="U15">
            <v>0.46597222222222312</v>
          </cell>
          <cell r="V15">
            <v>1.1413888888888897</v>
          </cell>
          <cell r="W15">
            <v>2.8963888888888896</v>
          </cell>
        </row>
        <row r="16">
          <cell r="T16">
            <v>0</v>
          </cell>
          <cell r="U16">
            <v>0.46968749999999948</v>
          </cell>
          <cell r="V16">
            <v>1.1949999999999996</v>
          </cell>
          <cell r="W16">
            <v>3.2830902777777773</v>
          </cell>
        </row>
        <row r="17">
          <cell r="T17">
            <v>0</v>
          </cell>
          <cell r="U17">
            <v>0.36993055555555598</v>
          </cell>
          <cell r="V17">
            <v>1.0937847222222228</v>
          </cell>
          <cell r="W17">
            <v>2.7832638888888894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icroscope"/>
      <sheetName val="Co-tolerance"/>
      <sheetName val="Generations in culture"/>
      <sheetName val="Spatial_C"/>
      <sheetName val="Pre-cult"/>
      <sheetName val="C. growth 1"/>
      <sheetName val="C. growth 2"/>
      <sheetName val="C. growth 4"/>
      <sheetName val="C. growth 3"/>
      <sheetName val="PICT growth"/>
      <sheetName val="PICTdetailedGrowth"/>
      <sheetName val="GP1"/>
      <sheetName val="GP2"/>
      <sheetName val="GP3"/>
      <sheetName val="GP4"/>
      <sheetName val="GP5"/>
      <sheetName val="GP6"/>
      <sheetName val="GP7"/>
      <sheetName val="GP8"/>
      <sheetName val="GP9"/>
      <sheetName val="GP10"/>
      <sheetName val="GP11"/>
      <sheetName val="GP12"/>
      <sheetName val="GP13"/>
      <sheetName val="GP14"/>
      <sheetName val="GP15"/>
      <sheetName val="GP16"/>
      <sheetName val="GP17"/>
      <sheetName val="GP18"/>
      <sheetName val="GP19"/>
      <sheetName val="GP20"/>
      <sheetName val="GP21"/>
      <sheetName val="GP22"/>
      <sheetName val="GP23"/>
      <sheetName val="GP24"/>
      <sheetName val="GP25"/>
      <sheetName val="GP26"/>
      <sheetName val="GP27"/>
      <sheetName val="GP28"/>
      <sheetName val="GP29"/>
      <sheetName val="GP30"/>
      <sheetName val="RO5"/>
      <sheetName val="MM"/>
    </sheetNames>
    <sheetDataSet>
      <sheetData sheetId="0">
        <row r="54">
          <cell r="E54">
            <v>1.5</v>
          </cell>
          <cell r="F54">
            <v>4.5</v>
          </cell>
          <cell r="G54">
            <v>7.5</v>
          </cell>
          <cell r="H54">
            <v>10.5</v>
          </cell>
          <cell r="I54">
            <v>13.5</v>
          </cell>
          <cell r="J54">
            <v>16.5</v>
          </cell>
          <cell r="K54">
            <v>19.5</v>
          </cell>
          <cell r="L54">
            <v>22.5</v>
          </cell>
          <cell r="M54">
            <v>25.5</v>
          </cell>
          <cell r="N54">
            <v>28.5</v>
          </cell>
          <cell r="O54">
            <v>31.5</v>
          </cell>
          <cell r="P54">
            <v>34.5</v>
          </cell>
          <cell r="Q54">
            <v>37.5</v>
          </cell>
        </row>
        <row r="68">
          <cell r="E68">
            <v>1.5803395195959402</v>
          </cell>
          <cell r="F68">
            <v>1.727064662484753</v>
          </cell>
          <cell r="G68">
            <v>1.7262210143457553</v>
          </cell>
          <cell r="H68">
            <v>1.6288216930455335</v>
          </cell>
          <cell r="I68">
            <v>1.822110687718844</v>
          </cell>
          <cell r="J68">
            <v>1.8805276221558551</v>
          </cell>
          <cell r="K68">
            <v>1.7641986534619789</v>
          </cell>
          <cell r="L68">
            <v>1.9285797786856378</v>
          </cell>
          <cell r="M68">
            <v>1.9488298848242085</v>
          </cell>
          <cell r="N68">
            <v>1.9005473561974582</v>
          </cell>
          <cell r="O68">
            <v>1.86915405385781</v>
          </cell>
          <cell r="P68">
            <v>1.9072649818880361</v>
          </cell>
          <cell r="Q68">
            <v>1.8566205906179003</v>
          </cell>
        </row>
        <row r="69">
          <cell r="E69">
            <v>0.70901677407127095</v>
          </cell>
          <cell r="F69">
            <v>0.45963748676145688</v>
          </cell>
          <cell r="G69">
            <v>0.42147097522001814</v>
          </cell>
          <cell r="H69">
            <v>0.40767420825207468</v>
          </cell>
          <cell r="I69">
            <v>1.3347607257037157</v>
          </cell>
          <cell r="J69">
            <v>1.2170117882890381</v>
          </cell>
          <cell r="K69">
            <v>0.97379136841637082</v>
          </cell>
          <cell r="L69">
            <v>1.3663940330134428</v>
          </cell>
          <cell r="M69">
            <v>1.2031548556529255</v>
          </cell>
          <cell r="N69">
            <v>0.9050597159013567</v>
          </cell>
          <cell r="O69">
            <v>0.9680246326337919</v>
          </cell>
          <cell r="P69">
            <v>0.35811077539705566</v>
          </cell>
          <cell r="Q69">
            <v>1.3990490782090907</v>
          </cell>
        </row>
        <row r="70">
          <cell r="E70">
            <v>1.4555829756001508</v>
          </cell>
          <cell r="F70">
            <v>1.5070414053009304</v>
          </cell>
          <cell r="G70">
            <v>1.8517622737120716</v>
          </cell>
          <cell r="H70">
            <v>1.6500236624961999</v>
          </cell>
          <cell r="I70">
            <v>1.6725566364600499</v>
          </cell>
          <cell r="J70">
            <v>1.8640177840027485</v>
          </cell>
        </row>
        <row r="71">
          <cell r="E71">
            <v>0.82414049165970982</v>
          </cell>
          <cell r="F71">
            <v>0.6416255080736798</v>
          </cell>
          <cell r="G71">
            <v>0.93103702511893482</v>
          </cell>
          <cell r="H71">
            <v>0.65509181794972948</v>
          </cell>
          <cell r="I71">
            <v>1.3377819883853024</v>
          </cell>
          <cell r="J71">
            <v>1.5620589736946633</v>
          </cell>
          <cell r="K71">
            <v>1.3021316681889314</v>
          </cell>
          <cell r="L71">
            <v>1.4094043075919067</v>
          </cell>
          <cell r="M71">
            <v>1.344165581667645</v>
          </cell>
          <cell r="N71">
            <v>1.2870024385729621</v>
          </cell>
          <cell r="O71">
            <v>0.93904572276896847</v>
          </cell>
          <cell r="P71">
            <v>0.91424961880952405</v>
          </cell>
          <cell r="Q71">
            <v>1.3298282645667874</v>
          </cell>
        </row>
        <row r="73">
          <cell r="E73">
            <v>6.1032720321085129E-2</v>
          </cell>
          <cell r="F73">
            <v>3.9847960514201128E-2</v>
          </cell>
          <cell r="G73">
            <v>7.0513514740449479E-2</v>
          </cell>
          <cell r="H73">
            <v>4.6742769338980437E-2</v>
          </cell>
          <cell r="I73">
            <v>4.7367467217880647E-2</v>
          </cell>
          <cell r="J73">
            <v>4.8826219239975072E-2</v>
          </cell>
          <cell r="K73">
            <v>7.2506814101923694E-2</v>
          </cell>
          <cell r="L73">
            <v>8.5775933829869686E-2</v>
          </cell>
          <cell r="M73">
            <v>4.5634576063088815E-2</v>
          </cell>
          <cell r="N73">
            <v>6.5140375040587464E-2</v>
          </cell>
          <cell r="O73">
            <v>6.0331726244282416E-2</v>
          </cell>
          <cell r="P73">
            <v>9.6710978661392014E-2</v>
          </cell>
          <cell r="Q73">
            <v>4.7370482508478126E-2</v>
          </cell>
          <cell r="R73">
            <v>2.0382416531117557E-2</v>
          </cell>
        </row>
        <row r="74">
          <cell r="E74">
            <v>8.7966706843150666E-2</v>
          </cell>
          <cell r="F74">
            <v>5.8832761429907898E-2</v>
          </cell>
          <cell r="G74">
            <v>0.20480586645264329</v>
          </cell>
          <cell r="H74">
            <v>0.21996725149478574</v>
          </cell>
          <cell r="I74">
            <v>0.16873305455522475</v>
          </cell>
          <cell r="J74">
            <v>0.12565516573720326</v>
          </cell>
          <cell r="K74">
            <v>0.21443068091137374</v>
          </cell>
          <cell r="L74">
            <v>0.13897853092138449</v>
          </cell>
          <cell r="M74">
            <v>0.17646984248413788</v>
          </cell>
          <cell r="N74">
            <v>0.21221664413175462</v>
          </cell>
          <cell r="O74">
            <v>0.16140283451163182</v>
          </cell>
          <cell r="P74">
            <v>0.24285552410219169</v>
          </cell>
          <cell r="Q74">
            <v>0.15181139797455506</v>
          </cell>
          <cell r="R74">
            <v>0.1185264185745586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icroscope"/>
      <sheetName val="Co-tolerance"/>
      <sheetName val="Generations in culture"/>
      <sheetName val="Spatial_C"/>
      <sheetName val="C. growtht42"/>
      <sheetName val="Pre-cult"/>
      <sheetName val="C. growth Co-tol"/>
      <sheetName val="C. growth 1"/>
      <sheetName val="C. growth 2"/>
      <sheetName val="C. growth 3"/>
      <sheetName val="C. growth 4"/>
      <sheetName val="PICT growth"/>
      <sheetName val="PICTdetailedGrowth"/>
      <sheetName val="GP1"/>
      <sheetName val="GP2"/>
      <sheetName val="GP3"/>
      <sheetName val="GP4"/>
      <sheetName val="GP5"/>
      <sheetName val="GP6"/>
      <sheetName val="GP7"/>
      <sheetName val="GP8"/>
      <sheetName val="GP9"/>
      <sheetName val="GP10"/>
      <sheetName val="GP11"/>
      <sheetName val="GP12"/>
      <sheetName val="GP13"/>
      <sheetName val="GP14"/>
      <sheetName val="GP15"/>
      <sheetName val="GP16"/>
      <sheetName val="GP17"/>
      <sheetName val="GP18"/>
      <sheetName val="GP19"/>
      <sheetName val="GP20"/>
      <sheetName val="GP21"/>
      <sheetName val="GP22"/>
      <sheetName val="GP23"/>
      <sheetName val="GP24"/>
      <sheetName val="GP25"/>
      <sheetName val="GP26"/>
      <sheetName val="GP27"/>
      <sheetName val="GP28"/>
      <sheetName val="GP29"/>
      <sheetName val="GP30"/>
      <sheetName val="RO5"/>
      <sheetName val="MM"/>
    </sheetNames>
    <sheetDataSet>
      <sheetData sheetId="0">
        <row r="54">
          <cell r="E54">
            <v>1.5</v>
          </cell>
          <cell r="F54">
            <v>4.5</v>
          </cell>
          <cell r="G54">
            <v>7.5</v>
          </cell>
          <cell r="H54">
            <v>10.5</v>
          </cell>
          <cell r="I54">
            <v>13.5</v>
          </cell>
          <cell r="J54">
            <v>16.5</v>
          </cell>
          <cell r="K54">
            <v>19.5</v>
          </cell>
          <cell r="L54">
            <v>22.5</v>
          </cell>
          <cell r="M54">
            <v>25.5</v>
          </cell>
          <cell r="N54">
            <v>28.5</v>
          </cell>
          <cell r="O54">
            <v>31.5</v>
          </cell>
          <cell r="P54">
            <v>34.5</v>
          </cell>
          <cell r="Q54">
            <v>37.5</v>
          </cell>
          <cell r="R54">
            <v>40.5</v>
          </cell>
        </row>
        <row r="68">
          <cell r="E68">
            <v>1.7285102381693676</v>
          </cell>
          <cell r="F68">
            <v>1.6263872753866775</v>
          </cell>
          <cell r="G68">
            <v>1.881211577960888</v>
          </cell>
          <cell r="H68">
            <v>1.6003373625822916</v>
          </cell>
          <cell r="I68">
            <v>1.7936164433340216</v>
          </cell>
          <cell r="J68">
            <v>1.949898485921493</v>
          </cell>
          <cell r="K68">
            <v>1.7267453645226305</v>
          </cell>
          <cell r="L68">
            <v>1.7771872223689278</v>
          </cell>
          <cell r="M68">
            <v>1.8172329074990565</v>
          </cell>
          <cell r="N68">
            <v>1.896851920892906</v>
          </cell>
          <cell r="O68">
            <v>1.8651171542747533</v>
          </cell>
          <cell r="P68">
            <v>1.7816049662294446</v>
          </cell>
          <cell r="Q68">
            <v>1.7218607942362858</v>
          </cell>
          <cell r="R68">
            <v>1.7368400895289906</v>
          </cell>
        </row>
        <row r="69">
          <cell r="E69">
            <v>0.65646505502265662</v>
          </cell>
          <cell r="F69">
            <v>0.48931350291159381</v>
          </cell>
          <cell r="G69">
            <v>0.60619224028416119</v>
          </cell>
          <cell r="H69">
            <v>0.51442512999200996</v>
          </cell>
          <cell r="I69">
            <v>0.76084771474403778</v>
          </cell>
          <cell r="J69">
            <v>6.8730307708110477E-2</v>
          </cell>
          <cell r="K69">
            <v>0.92083804362450172</v>
          </cell>
          <cell r="L69">
            <v>0.90231638187197272</v>
          </cell>
          <cell r="M69">
            <v>0.82664466009839932</v>
          </cell>
          <cell r="N69">
            <v>1.1217004133940383</v>
          </cell>
          <cell r="O69">
            <v>1.1104007619506506</v>
          </cell>
          <cell r="P69">
            <v>1.0952208013177529</v>
          </cell>
          <cell r="Q69">
            <v>1.0004447522840823</v>
          </cell>
          <cell r="R69">
            <v>1.1593924453729361</v>
          </cell>
        </row>
        <row r="70">
          <cell r="E70">
            <v>1.5593907498109651</v>
          </cell>
          <cell r="F70">
            <v>1.6586575634911016</v>
          </cell>
          <cell r="G70">
            <v>1.6637406572436921</v>
          </cell>
          <cell r="H70">
            <v>1.5290750489844107</v>
          </cell>
          <cell r="I70">
            <v>1.5996139703101353</v>
          </cell>
          <cell r="J70">
            <v>1.7303646384288391</v>
          </cell>
          <cell r="K70">
            <v>1.7091865647756739</v>
          </cell>
          <cell r="L70">
            <v>1.6133021824334248</v>
          </cell>
          <cell r="M70">
            <v>1.5715923625976806</v>
          </cell>
          <cell r="N70">
            <v>1.7239827933093437</v>
          </cell>
          <cell r="O70">
            <v>1.6301583572346914</v>
          </cell>
          <cell r="P70">
            <v>1.6883785962160001</v>
          </cell>
          <cell r="Q70">
            <v>1.5049094912692607</v>
          </cell>
          <cell r="R70">
            <v>1.6119150719385644</v>
          </cell>
        </row>
        <row r="71">
          <cell r="E71">
            <v>0.76650928044107636</v>
          </cell>
          <cell r="F71">
            <v>0.52282042812049045</v>
          </cell>
          <cell r="G71">
            <v>-0.30942727956491972</v>
          </cell>
          <cell r="I71">
            <v>0.26239282451436097</v>
          </cell>
          <cell r="J71">
            <v>6.4561132399255136E-2</v>
          </cell>
          <cell r="K71">
            <v>5.3776221637949519E-2</v>
          </cell>
          <cell r="L71">
            <v>-7.9059784087818066E-2</v>
          </cell>
          <cell r="M71">
            <v>0.86414027305596575</v>
          </cell>
          <cell r="N71">
            <v>0.99788435043959944</v>
          </cell>
          <cell r="O71">
            <v>1.0490888338610522</v>
          </cell>
          <cell r="P71">
            <v>0.88505210683158897</v>
          </cell>
          <cell r="Q71">
            <v>0.77674843801267068</v>
          </cell>
          <cell r="R71">
            <v>0.91788135226718237</v>
          </cell>
        </row>
        <row r="73">
          <cell r="E73">
            <v>5.2533431896057976E-2</v>
          </cell>
          <cell r="F73">
            <v>8.9936273781582532E-2</v>
          </cell>
          <cell r="G73">
            <v>0.15725344832627461</v>
          </cell>
          <cell r="H73">
            <v>1.6553581352581895E-2</v>
          </cell>
          <cell r="I73">
            <v>7.175714969465187E-2</v>
          </cell>
          <cell r="J73">
            <v>5.0957187972952692E-2</v>
          </cell>
          <cell r="K73">
            <v>4.9135592567129134E-2</v>
          </cell>
          <cell r="L73">
            <v>5.0050696076888959E-2</v>
          </cell>
          <cell r="M73">
            <v>6.8405084979005187E-2</v>
          </cell>
          <cell r="N73">
            <v>4.0782614106876391E-2</v>
          </cell>
          <cell r="O73">
            <v>7.4260960245244437E-2</v>
          </cell>
          <cell r="P73">
            <v>4.0328037979756759E-2</v>
          </cell>
          <cell r="Q73">
            <v>2.7046562330842953E-2</v>
          </cell>
          <cell r="R73">
            <v>6.3434146548568215E-2</v>
          </cell>
        </row>
        <row r="74">
          <cell r="E74">
            <v>3.0632485704719305E-2</v>
          </cell>
          <cell r="F74">
            <v>0.15058205837943928</v>
          </cell>
          <cell r="G74">
            <v>0.21175631010267881</v>
          </cell>
          <cell r="H74">
            <v>0.19972872152653742</v>
          </cell>
          <cell r="I74">
            <v>9.4452231520109245E-2</v>
          </cell>
          <cell r="J74">
            <v>0.40732097834319214</v>
          </cell>
          <cell r="K74">
            <v>0.12542449795567451</v>
          </cell>
          <cell r="L74">
            <v>0.20040823650146064</v>
          </cell>
          <cell r="M74">
            <v>0.14044297659423691</v>
          </cell>
          <cell r="N74">
            <v>0.19214880569124257</v>
          </cell>
          <cell r="O74">
            <v>0.13671484172139045</v>
          </cell>
          <cell r="P74">
            <v>0.12784915264133179</v>
          </cell>
          <cell r="Q74">
            <v>0.12898955397718195</v>
          </cell>
          <cell r="R74">
            <v>0.132246209578055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49">
          <cell r="MK49">
            <v>0.125</v>
          </cell>
          <cell r="ML49">
            <v>3</v>
          </cell>
          <cell r="MM49">
            <v>3</v>
          </cell>
          <cell r="MN49">
            <v>6</v>
          </cell>
          <cell r="MO49">
            <v>6</v>
          </cell>
          <cell r="MP49">
            <v>9</v>
          </cell>
          <cell r="MQ49">
            <v>9</v>
          </cell>
          <cell r="MR49">
            <v>12</v>
          </cell>
          <cell r="MS49">
            <v>12</v>
          </cell>
          <cell r="MT49">
            <v>15</v>
          </cell>
          <cell r="MU49">
            <v>15</v>
          </cell>
          <cell r="MV49">
            <v>18</v>
          </cell>
          <cell r="MW49">
            <v>18</v>
          </cell>
          <cell r="MX49">
            <v>21</v>
          </cell>
          <cell r="MY49">
            <v>21</v>
          </cell>
          <cell r="MZ49">
            <v>24</v>
          </cell>
          <cell r="NA49">
            <v>24</v>
          </cell>
          <cell r="NB49">
            <v>27</v>
          </cell>
          <cell r="NC49">
            <v>27</v>
          </cell>
          <cell r="ND49">
            <v>30</v>
          </cell>
          <cell r="NE49">
            <v>30</v>
          </cell>
          <cell r="NF49">
            <v>33</v>
          </cell>
          <cell r="NG49">
            <v>33</v>
          </cell>
          <cell r="NH49">
            <v>36</v>
          </cell>
          <cell r="NI49">
            <v>36</v>
          </cell>
          <cell r="NJ49">
            <v>39</v>
          </cell>
          <cell r="NK49">
            <v>39</v>
          </cell>
          <cell r="NL49">
            <v>42</v>
          </cell>
          <cell r="NM49">
            <v>42</v>
          </cell>
        </row>
        <row r="50">
          <cell r="MJ50" t="str">
            <v>Control</v>
          </cell>
          <cell r="MK50">
            <v>1.5E-3</v>
          </cell>
          <cell r="ML50">
            <v>0.21799600909000003</v>
          </cell>
          <cell r="MM50">
            <v>1E-3</v>
          </cell>
          <cell r="MN50">
            <v>0.135181685449</v>
          </cell>
          <cell r="MO50">
            <v>1E-3</v>
          </cell>
          <cell r="MP50">
            <v>0.30883745339999991</v>
          </cell>
          <cell r="MQ50">
            <v>5.0000000000000001E-4</v>
          </cell>
          <cell r="MR50">
            <v>6.0876805918000008E-2</v>
          </cell>
          <cell r="MS50">
            <v>5.0000000000000001E-4</v>
          </cell>
          <cell r="MT50">
            <v>0.110777736742</v>
          </cell>
          <cell r="MU50">
            <v>5.0000000000000001E-4</v>
          </cell>
          <cell r="MV50">
            <v>0.17522050387254001</v>
          </cell>
          <cell r="MW50">
            <v>5.0000000000000001E-4</v>
          </cell>
          <cell r="MX50">
            <v>8.964453973E-2</v>
          </cell>
          <cell r="MY50">
            <v>5.0000000000000001E-4</v>
          </cell>
          <cell r="MZ50">
            <v>0.10435002589</v>
          </cell>
          <cell r="NA50">
            <v>5.0000000000000001E-4</v>
          </cell>
          <cell r="NB50">
            <v>0.11852007068999999</v>
          </cell>
          <cell r="NC50">
            <v>5.0000000000000001E-4</v>
          </cell>
          <cell r="ND50">
            <v>0.14892370747100001</v>
          </cell>
          <cell r="NE50">
            <v>5.0000000000000001E-4</v>
          </cell>
          <cell r="NF50">
            <v>0.13735480856899998</v>
          </cell>
          <cell r="NG50">
            <v>5.0000000000000001E-4</v>
          </cell>
          <cell r="NH50">
            <v>0.10540007809999999</v>
          </cell>
          <cell r="NI50">
            <v>5.0000000000000001E-4</v>
          </cell>
          <cell r="NJ50">
            <v>8.7805343793999999E-2</v>
          </cell>
          <cell r="NK50">
            <v>1E-3</v>
          </cell>
          <cell r="NL50">
            <v>0.18604519506</v>
          </cell>
          <cell r="NM50" t="e">
            <v>#DIV/0!</v>
          </cell>
        </row>
        <row r="51">
          <cell r="MJ51" t="str">
            <v>Cu</v>
          </cell>
          <cell r="MK51">
            <v>3.0000000000000001E-3</v>
          </cell>
          <cell r="ML51">
            <v>1.9867205010000003E-2</v>
          </cell>
          <cell r="MM51">
            <v>3.0000000000000001E-3</v>
          </cell>
          <cell r="MN51">
            <v>1.4147706168999996E-2</v>
          </cell>
          <cell r="MO51">
            <v>3.0000000000000001E-3</v>
          </cell>
          <cell r="MP51">
            <v>2.2023738039999997E-2</v>
          </cell>
          <cell r="MQ51">
            <v>3.0000000000000001E-3</v>
          </cell>
          <cell r="MR51">
            <v>1.6140735598000003E-2</v>
          </cell>
          <cell r="MS51">
            <v>2.4800000000000004E-3</v>
          </cell>
          <cell r="MT51">
            <v>3.3195864502000003E-2</v>
          </cell>
          <cell r="MU51">
            <v>2.0799999999999998E-3</v>
          </cell>
          <cell r="MV51">
            <v>5.1584207075239998E-3</v>
          </cell>
          <cell r="MW51">
            <v>2.5000000000000001E-3</v>
          </cell>
          <cell r="MX51">
            <v>4.0009021330000005E-2</v>
          </cell>
          <cell r="MY51">
            <v>3.0000000000000001E-3</v>
          </cell>
          <cell r="MZ51">
            <v>5.0705272290000006E-2</v>
          </cell>
          <cell r="NA51">
            <v>3.0000000000000001E-3</v>
          </cell>
          <cell r="NB51">
            <v>3.8287763489999994E-2</v>
          </cell>
          <cell r="NC51">
            <v>3.0000000000000001E-3</v>
          </cell>
          <cell r="ND51">
            <v>9.7923420271000011E-2</v>
          </cell>
          <cell r="NE51">
            <v>3.0000000000000001E-3</v>
          </cell>
          <cell r="NF51">
            <v>8.9573800569000009E-2</v>
          </cell>
          <cell r="NG51">
            <v>0.01</v>
          </cell>
          <cell r="NH51">
            <v>0.28488069182307696</v>
          </cell>
          <cell r="NI51">
            <v>6.0000000000000001E-3</v>
          </cell>
          <cell r="NJ51">
            <v>0.12815948619400003</v>
          </cell>
          <cell r="NK51">
            <v>6.0000000000000001E-3</v>
          </cell>
          <cell r="NL51">
            <v>0.20724683825999998</v>
          </cell>
          <cell r="NM51" t="e">
            <v>#DIV/0!</v>
          </cell>
        </row>
        <row r="52">
          <cell r="MJ52" t="str">
            <v>RO5</v>
          </cell>
          <cell r="MK52">
            <v>1.5E-3</v>
          </cell>
          <cell r="ML52">
            <v>0.13278264108999999</v>
          </cell>
          <cell r="MM52">
            <v>1E-3</v>
          </cell>
          <cell r="MN52">
            <v>0.14488968944900005</v>
          </cell>
          <cell r="MO52">
            <v>1E-3</v>
          </cell>
          <cell r="MP52">
            <v>0.14711608540000001</v>
          </cell>
          <cell r="MQ52">
            <v>5.0000000000000001E-4</v>
          </cell>
          <cell r="MR52">
            <v>4.9110750718000001E-2</v>
          </cell>
          <cell r="MS52">
            <v>5.0000000000000001E-4</v>
          </cell>
          <cell r="MT52">
            <v>6.0684889541999992E-2</v>
          </cell>
          <cell r="MU52">
            <v>5.0000000000000001E-4</v>
          </cell>
          <cell r="MV52">
            <v>8.9832491872540013E-2</v>
          </cell>
          <cell r="MW52">
            <v>5.0000000000000001E-4</v>
          </cell>
          <cell r="MX52">
            <v>8.4302583730000019E-2</v>
          </cell>
          <cell r="MY52">
            <v>5.0000000000000001E-4</v>
          </cell>
          <cell r="MZ52">
            <v>6.3228766690000021E-2</v>
          </cell>
          <cell r="NA52">
            <v>5.0000000000000001E-4</v>
          </cell>
          <cell r="NB52">
            <v>5.5791967489999997E-2</v>
          </cell>
          <cell r="NC52">
            <v>5.0000000000000001E-4</v>
          </cell>
          <cell r="ND52">
            <v>8.8128960270999993E-2</v>
          </cell>
          <cell r="NE52">
            <v>5.0000000000000001E-4</v>
          </cell>
          <cell r="NF52">
            <v>6.6508375768999983E-2</v>
          </cell>
          <cell r="NG52">
            <v>5.0000000000000001E-4</v>
          </cell>
          <cell r="NH52">
            <v>7.9200974899999999E-2</v>
          </cell>
          <cell r="NI52">
            <v>5.0000000000000001E-4</v>
          </cell>
          <cell r="NJ52">
            <v>4.5676378994000004E-2</v>
          </cell>
          <cell r="NK52">
            <v>1E-3</v>
          </cell>
          <cell r="NL52">
            <v>0.12593239505999995</v>
          </cell>
          <cell r="NM52">
            <v>0</v>
          </cell>
        </row>
        <row r="53">
          <cell r="MJ53" t="str">
            <v>RO5-Cu</v>
          </cell>
          <cell r="MK53">
            <v>3.0000000000000001E-3</v>
          </cell>
          <cell r="ML53">
            <v>2.7175789090000006E-2</v>
          </cell>
          <cell r="MM53">
            <v>3.0000000000000001E-3</v>
          </cell>
          <cell r="MN53">
            <v>1.4397773448999998E-2</v>
          </cell>
          <cell r="MO53">
            <v>3.0000000000000001E-3</v>
          </cell>
          <cell r="MP53">
            <v>1.1856966000000019E-3</v>
          </cell>
          <cell r="MQ53">
            <v>3.0000000000000001E-3</v>
          </cell>
          <cell r="MR53">
            <v>-8.847401999999456E-6</v>
          </cell>
          <cell r="MS53">
            <v>3.0000000000000001E-3</v>
          </cell>
          <cell r="MT53">
            <v>6.5915647420000008E-3</v>
          </cell>
          <cell r="MU53">
            <v>3.0000000000000001E-3</v>
          </cell>
          <cell r="MV53">
            <v>3.6411358725399988E-3</v>
          </cell>
          <cell r="MW53">
            <v>3.0000000000000001E-3</v>
          </cell>
          <cell r="MX53">
            <v>3.5252133299999997E-3</v>
          </cell>
          <cell r="MY53">
            <v>1.5E-3</v>
          </cell>
          <cell r="MZ53">
            <v>1.1832746900000005E-3</v>
          </cell>
          <cell r="NA53">
            <v>1.5E-3</v>
          </cell>
          <cell r="NB53">
            <v>2.0043119489999997E-2</v>
          </cell>
          <cell r="NC53">
            <v>3.0000000000000001E-3</v>
          </cell>
          <cell r="ND53">
            <v>5.9875376271000008E-2</v>
          </cell>
          <cell r="NE53">
            <v>3.0000000000000001E-3</v>
          </cell>
          <cell r="NF53">
            <v>6.9817087769000002E-2</v>
          </cell>
          <cell r="NG53">
            <v>0.01</v>
          </cell>
          <cell r="NH53">
            <v>0.1422720989</v>
          </cell>
          <cell r="NI53">
            <v>6.0000000000000001E-3</v>
          </cell>
          <cell r="NJ53">
            <v>6.1682778993999994E-2</v>
          </cell>
          <cell r="NK53">
            <v>6.0000000000000001E-3</v>
          </cell>
          <cell r="NL53">
            <v>9.4198431060000018E-2</v>
          </cell>
          <cell r="NM53">
            <v>0</v>
          </cell>
        </row>
        <row r="55">
          <cell r="MK55">
            <v>0</v>
          </cell>
          <cell r="ML55">
            <v>3.5221230744799277E-2</v>
          </cell>
          <cell r="MM55">
            <v>0</v>
          </cell>
          <cell r="MN55">
            <v>3.3498566843638042E-2</v>
          </cell>
          <cell r="MO55">
            <v>0</v>
          </cell>
          <cell r="MP55">
            <v>0.1464551870322561</v>
          </cell>
          <cell r="MQ55">
            <v>0</v>
          </cell>
          <cell r="MR55">
            <v>3.027270730903866E-3</v>
          </cell>
          <cell r="MS55">
            <v>0</v>
          </cell>
          <cell r="MT55">
            <v>2.6364883753596122E-2</v>
          </cell>
          <cell r="MU55">
            <v>0</v>
          </cell>
          <cell r="MV55">
            <v>2.7425359384307041E-2</v>
          </cell>
          <cell r="MW55">
            <v>0</v>
          </cell>
          <cell r="MX55">
            <v>1.3407635470248426E-2</v>
          </cell>
          <cell r="MY55">
            <v>0</v>
          </cell>
          <cell r="MZ55">
            <v>1.6501540907652351E-2</v>
          </cell>
          <cell r="NA55">
            <v>0</v>
          </cell>
          <cell r="NB55">
            <v>2.3607933430934609E-2</v>
          </cell>
          <cell r="NC55">
            <v>0</v>
          </cell>
          <cell r="ND55">
            <v>1.8413398339771202E-2</v>
          </cell>
          <cell r="NE55">
            <v>0</v>
          </cell>
          <cell r="NF55">
            <v>3.1780472877055842E-2</v>
          </cell>
          <cell r="NG55">
            <v>0</v>
          </cell>
          <cell r="NH55">
            <v>1.3544065637306897E-2</v>
          </cell>
          <cell r="NI55">
            <v>0</v>
          </cell>
          <cell r="NJ55">
            <v>7.343632270056231E-3</v>
          </cell>
          <cell r="NK55">
            <v>0</v>
          </cell>
          <cell r="NL55">
            <v>3.9028129342682079E-2</v>
          </cell>
        </row>
        <row r="56">
          <cell r="MK56">
            <v>0</v>
          </cell>
          <cell r="ML56">
            <v>1.7653543404755982E-3</v>
          </cell>
          <cell r="MM56">
            <v>0</v>
          </cell>
          <cell r="MN56">
            <v>6.5189162288554914E-3</v>
          </cell>
          <cell r="MO56">
            <v>0</v>
          </cell>
          <cell r="MP56">
            <v>1.5881105550090393E-2</v>
          </cell>
          <cell r="MQ56">
            <v>0</v>
          </cell>
          <cell r="MR56">
            <v>9.3579900389074121E-3</v>
          </cell>
          <cell r="MS56">
            <v>9.2574294488264935E-4</v>
          </cell>
          <cell r="MT56">
            <v>1.8608603965604438E-2</v>
          </cell>
          <cell r="MU56">
            <v>7.9104361447394293E-4</v>
          </cell>
          <cell r="MV56">
            <v>6.2707834832724059E-3</v>
          </cell>
          <cell r="MW56">
            <v>7.0710678118654751E-4</v>
          </cell>
          <cell r="MX56">
            <v>1.3356804989531443E-2</v>
          </cell>
          <cell r="MY56">
            <v>0</v>
          </cell>
          <cell r="MZ56">
            <v>2.3548880516452701E-2</v>
          </cell>
          <cell r="NA56">
            <v>0</v>
          </cell>
          <cell r="NB56">
            <v>1.475543448400108E-2</v>
          </cell>
          <cell r="NC56">
            <v>0</v>
          </cell>
          <cell r="ND56">
            <v>4.8094193763851607E-2</v>
          </cell>
          <cell r="NE56">
            <v>0</v>
          </cell>
          <cell r="NF56">
            <v>3.5502706689250277E-2</v>
          </cell>
          <cell r="NG56">
            <v>0</v>
          </cell>
          <cell r="NH56">
            <v>0.123131716016946</v>
          </cell>
          <cell r="NI56">
            <v>0</v>
          </cell>
          <cell r="NJ56">
            <v>5.0610282688704135E-2</v>
          </cell>
          <cell r="NK56">
            <v>0</v>
          </cell>
          <cell r="NL56">
            <v>8.4575563132734607E-2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ECA6E-F3C0-AF46-9B3F-E3FDB6D9C649}">
  <dimension ref="A1:O47"/>
  <sheetViews>
    <sheetView tabSelected="1" workbookViewId="0">
      <selection activeCell="P10" sqref="P10"/>
    </sheetView>
  </sheetViews>
  <sheetFormatPr baseColWidth="10" defaultRowHeight="16" x14ac:dyDescent="0.2"/>
  <cols>
    <col min="4" max="4" width="14.33203125" customWidth="1"/>
    <col min="8" max="8" width="17.83203125" customWidth="1"/>
    <col min="9" max="9" width="15" customWidth="1"/>
    <col min="10" max="10" width="18.1640625" customWidth="1"/>
    <col min="11" max="11" width="15.83203125" customWidth="1"/>
  </cols>
  <sheetData>
    <row r="1" spans="1:15" x14ac:dyDescent="0.2">
      <c r="A1" s="30" t="s">
        <v>217</v>
      </c>
      <c r="B1" s="30" t="s">
        <v>155</v>
      </c>
      <c r="C1" s="30" t="s">
        <v>218</v>
      </c>
      <c r="D1" s="30" t="s">
        <v>220</v>
      </c>
      <c r="E1" s="30" t="s">
        <v>219</v>
      </c>
      <c r="F1" s="30" t="s">
        <v>296</v>
      </c>
      <c r="G1" s="30" t="s">
        <v>298</v>
      </c>
      <c r="H1" s="30" t="s">
        <v>247</v>
      </c>
      <c r="I1" s="30" t="s">
        <v>348</v>
      </c>
      <c r="J1" s="30" t="s">
        <v>303</v>
      </c>
      <c r="K1" s="30" t="s">
        <v>302</v>
      </c>
      <c r="L1" s="30" t="s">
        <v>308</v>
      </c>
      <c r="M1" s="30" t="s">
        <v>297</v>
      </c>
      <c r="N1" s="30" t="s">
        <v>299</v>
      </c>
      <c r="O1" s="30" t="s">
        <v>360</v>
      </c>
    </row>
    <row r="2" spans="1:15" x14ac:dyDescent="0.2">
      <c r="A2" s="30" t="s">
        <v>75</v>
      </c>
      <c r="B2" s="30" t="s">
        <v>75</v>
      </c>
      <c r="C2" s="30" t="s">
        <v>65</v>
      </c>
      <c r="D2" s="30" t="s">
        <v>233</v>
      </c>
      <c r="E2" s="30">
        <v>42</v>
      </c>
      <c r="F2">
        <v>10.8668359715005</v>
      </c>
      <c r="G2">
        <v>0.14588724794939301</v>
      </c>
      <c r="H2">
        <v>1.6176356464661812</v>
      </c>
      <c r="I2" s="1">
        <v>106.70965700000001</v>
      </c>
      <c r="J2" t="s">
        <v>343</v>
      </c>
      <c r="K2" s="1" t="s">
        <v>344</v>
      </c>
      <c r="L2" s="1" t="s">
        <v>347</v>
      </c>
      <c r="M2">
        <f>F2*0.7034-0.1421</f>
        <v>7.5016324223534516</v>
      </c>
      <c r="N2">
        <f>G2*0.7034</f>
        <v>0.10261709020760304</v>
      </c>
      <c r="O2">
        <v>1.3954801826142997</v>
      </c>
    </row>
    <row r="3" spans="1:15" x14ac:dyDescent="0.2">
      <c r="A3" s="30" t="s">
        <v>75</v>
      </c>
      <c r="B3" s="30" t="s">
        <v>75</v>
      </c>
      <c r="C3" s="30" t="s">
        <v>65</v>
      </c>
      <c r="D3" s="30" t="s">
        <v>227</v>
      </c>
      <c r="E3" s="30">
        <v>42</v>
      </c>
      <c r="F3">
        <v>11.139858830425201</v>
      </c>
      <c r="G3">
        <v>0.27265810399940599</v>
      </c>
      <c r="H3">
        <v>1.6448600073202357</v>
      </c>
      <c r="I3" s="1">
        <v>107.602553</v>
      </c>
      <c r="J3" t="s">
        <v>341</v>
      </c>
      <c r="K3" s="1" t="s">
        <v>342</v>
      </c>
      <c r="L3" s="1" t="s">
        <v>347</v>
      </c>
      <c r="M3">
        <f t="shared" ref="M3:M25" si="0">F3*0.7034-0.1421</f>
        <v>7.6936767013210865</v>
      </c>
      <c r="N3">
        <f t="shared" ref="N3:N25" si="1">G3*0.7034</f>
        <v>0.19178771035318218</v>
      </c>
      <c r="O3">
        <v>1.5119019831721121</v>
      </c>
    </row>
    <row r="4" spans="1:15" x14ac:dyDescent="0.2">
      <c r="A4" s="30" t="s">
        <v>75</v>
      </c>
      <c r="B4" s="30" t="s">
        <v>75</v>
      </c>
      <c r="C4" s="30" t="s">
        <v>65</v>
      </c>
      <c r="D4" s="30" t="s">
        <v>228</v>
      </c>
      <c r="E4" s="30">
        <v>42</v>
      </c>
      <c r="F4">
        <v>10.6323574140203</v>
      </c>
      <c r="G4">
        <v>0.35407455907430302</v>
      </c>
      <c r="H4">
        <v>1.7341629770479134</v>
      </c>
      <c r="I4" s="1">
        <v>112.54857800000001</v>
      </c>
      <c r="J4" t="s">
        <v>337</v>
      </c>
      <c r="K4" s="1" t="s">
        <v>338</v>
      </c>
      <c r="L4" s="1" t="s">
        <v>347</v>
      </c>
      <c r="M4">
        <f t="shared" si="0"/>
        <v>7.336700205021879</v>
      </c>
      <c r="N4">
        <f t="shared" si="1"/>
        <v>0.24905604485286476</v>
      </c>
      <c r="O4">
        <v>1.5906749044116204</v>
      </c>
    </row>
    <row r="5" spans="1:15" x14ac:dyDescent="0.2">
      <c r="A5" s="30" t="s">
        <v>75</v>
      </c>
      <c r="B5" s="30" t="s">
        <v>75</v>
      </c>
      <c r="C5" s="30" t="s">
        <v>65</v>
      </c>
      <c r="D5" s="30" t="s">
        <v>229</v>
      </c>
      <c r="E5" s="30">
        <v>42</v>
      </c>
      <c r="F5">
        <v>10.3812259043374</v>
      </c>
      <c r="G5">
        <v>0.245172216702706</v>
      </c>
      <c r="H5">
        <v>1.6762635454137331</v>
      </c>
      <c r="I5" s="1">
        <v>110.55457</v>
      </c>
      <c r="J5" t="s">
        <v>336</v>
      </c>
      <c r="K5" s="1" t="s">
        <v>339</v>
      </c>
      <c r="L5" s="1" t="s">
        <v>347</v>
      </c>
      <c r="M5">
        <f t="shared" si="0"/>
        <v>7.1600543011109279</v>
      </c>
      <c r="N5">
        <f t="shared" si="1"/>
        <v>0.17245413722868341</v>
      </c>
      <c r="O5">
        <v>1.7131677243161696</v>
      </c>
    </row>
    <row r="6" spans="1:15" x14ac:dyDescent="0.2">
      <c r="A6" s="30" t="s">
        <v>75</v>
      </c>
      <c r="B6" s="30" t="s">
        <v>75</v>
      </c>
      <c r="C6" s="30" t="s">
        <v>65</v>
      </c>
      <c r="D6" s="30" t="s">
        <v>234</v>
      </c>
      <c r="E6" s="30">
        <v>42</v>
      </c>
      <c r="F6">
        <v>11.6223456447196</v>
      </c>
      <c r="G6">
        <v>0.17219316124327899</v>
      </c>
      <c r="H6">
        <v>1.7115692195211478</v>
      </c>
      <c r="I6" s="1">
        <v>105.657698</v>
      </c>
      <c r="J6" t="s">
        <v>335</v>
      </c>
      <c r="K6" t="s">
        <v>340</v>
      </c>
      <c r="L6" s="1" t="s">
        <v>347</v>
      </c>
      <c r="M6">
        <f t="shared" si="0"/>
        <v>8.0330579264957667</v>
      </c>
      <c r="N6">
        <f t="shared" si="1"/>
        <v>0.12112066961852244</v>
      </c>
      <c r="O6">
        <v>1.7700208038794143</v>
      </c>
    </row>
    <row r="7" spans="1:15" x14ac:dyDescent="0.2">
      <c r="A7" s="30" t="s">
        <v>75</v>
      </c>
      <c r="B7" s="30" t="s">
        <v>75</v>
      </c>
      <c r="C7" s="30" t="s">
        <v>223</v>
      </c>
      <c r="D7" s="30" t="s">
        <v>230</v>
      </c>
      <c r="E7" s="30">
        <v>42</v>
      </c>
      <c r="F7">
        <v>15.555671163218699</v>
      </c>
      <c r="G7">
        <v>0.58996338405899695</v>
      </c>
      <c r="H7">
        <v>0.58770179310360915</v>
      </c>
      <c r="I7" s="1">
        <v>52.815651799999998</v>
      </c>
      <c r="J7" t="s">
        <v>326</v>
      </c>
      <c r="K7" t="s">
        <v>334</v>
      </c>
      <c r="L7" s="1" t="s">
        <v>347</v>
      </c>
      <c r="M7">
        <f t="shared" si="0"/>
        <v>10.799759096208033</v>
      </c>
      <c r="N7">
        <f t="shared" si="1"/>
        <v>0.41498024434709846</v>
      </c>
      <c r="O7">
        <v>1.4059340156599527</v>
      </c>
    </row>
    <row r="8" spans="1:15" x14ac:dyDescent="0.2">
      <c r="A8" s="30" t="s">
        <v>75</v>
      </c>
      <c r="B8" s="30" t="s">
        <v>75</v>
      </c>
      <c r="C8" s="30" t="s">
        <v>223</v>
      </c>
      <c r="D8" s="30" t="s">
        <v>231</v>
      </c>
      <c r="E8" s="30">
        <v>42</v>
      </c>
      <c r="F8">
        <v>14.1968820715246</v>
      </c>
      <c r="G8">
        <v>0.271610351629683</v>
      </c>
      <c r="H8">
        <v>0.49779648917528668</v>
      </c>
      <c r="I8" s="1">
        <v>54.162425499999998</v>
      </c>
      <c r="J8" t="s">
        <v>327</v>
      </c>
      <c r="K8" t="s">
        <v>333</v>
      </c>
      <c r="L8" s="1" t="s">
        <v>347</v>
      </c>
      <c r="M8">
        <f t="shared" si="0"/>
        <v>9.8439868491104043</v>
      </c>
      <c r="N8">
        <f t="shared" si="1"/>
        <v>0.19105072133631903</v>
      </c>
      <c r="O8">
        <v>1.8332035550643107</v>
      </c>
    </row>
    <row r="9" spans="1:15" x14ac:dyDescent="0.2">
      <c r="A9" s="30" t="s">
        <v>75</v>
      </c>
      <c r="B9" s="30" t="s">
        <v>75</v>
      </c>
      <c r="C9" s="30" t="s">
        <v>223</v>
      </c>
      <c r="D9" s="30" t="s">
        <v>235</v>
      </c>
      <c r="E9" s="30">
        <v>42</v>
      </c>
      <c r="F9">
        <v>16.153406537640201</v>
      </c>
      <c r="G9" t="s">
        <v>159</v>
      </c>
      <c r="H9">
        <v>0.45808882913469734</v>
      </c>
      <c r="I9" s="1">
        <v>46.316265600000001</v>
      </c>
      <c r="J9" t="s">
        <v>331</v>
      </c>
      <c r="K9" t="s">
        <v>332</v>
      </c>
      <c r="L9" s="1" t="s">
        <v>347</v>
      </c>
      <c r="M9">
        <f t="shared" si="0"/>
        <v>11.220206158576119</v>
      </c>
      <c r="N9" t="s">
        <v>159</v>
      </c>
      <c r="O9">
        <v>1.7826868377671139</v>
      </c>
    </row>
    <row r="10" spans="1:15" x14ac:dyDescent="0.2">
      <c r="A10" s="30" t="s">
        <v>75</v>
      </c>
      <c r="B10" s="30" t="s">
        <v>75</v>
      </c>
      <c r="C10" s="30" t="s">
        <v>223</v>
      </c>
      <c r="D10" s="30" t="s">
        <v>232</v>
      </c>
      <c r="E10" s="30">
        <v>42</v>
      </c>
      <c r="F10">
        <v>15.3410645852288</v>
      </c>
      <c r="G10">
        <v>0.28753066132868099</v>
      </c>
      <c r="H10">
        <v>0.63418179873770131</v>
      </c>
      <c r="I10" s="1">
        <v>59.116044100000003</v>
      </c>
      <c r="J10" t="s">
        <v>329</v>
      </c>
      <c r="K10" t="s">
        <v>330</v>
      </c>
      <c r="L10" s="1" t="s">
        <v>347</v>
      </c>
      <c r="M10">
        <f t="shared" si="0"/>
        <v>10.648804829249938</v>
      </c>
      <c r="N10">
        <f t="shared" si="1"/>
        <v>0.20224906717859423</v>
      </c>
      <c r="O10">
        <v>2.059857603307945</v>
      </c>
    </row>
    <row r="11" spans="1:15" x14ac:dyDescent="0.2">
      <c r="A11" s="30" t="s">
        <v>75</v>
      </c>
      <c r="B11" s="30" t="s">
        <v>75</v>
      </c>
      <c r="C11" s="30" t="s">
        <v>223</v>
      </c>
      <c r="D11" s="30" t="s">
        <v>236</v>
      </c>
      <c r="E11" s="30">
        <v>42</v>
      </c>
      <c r="F11">
        <v>13.6345225677335</v>
      </c>
      <c r="G11">
        <v>0.41223637707237898</v>
      </c>
      <c r="H11">
        <v>0.4724398166032821</v>
      </c>
      <c r="I11" s="1">
        <v>57.164293700000002</v>
      </c>
      <c r="J11" t="s">
        <v>327</v>
      </c>
      <c r="K11" t="s">
        <v>328</v>
      </c>
      <c r="L11" s="1" t="s">
        <v>347</v>
      </c>
      <c r="M11">
        <f t="shared" si="0"/>
        <v>9.4484231741437448</v>
      </c>
      <c r="N11">
        <f t="shared" si="1"/>
        <v>0.28996706763271141</v>
      </c>
      <c r="O11">
        <v>1.7807071398997045</v>
      </c>
    </row>
    <row r="12" spans="1:15" x14ac:dyDescent="0.2">
      <c r="A12" s="30" t="s">
        <v>75</v>
      </c>
      <c r="B12" s="30" t="s">
        <v>221</v>
      </c>
      <c r="C12" s="30" t="s">
        <v>65</v>
      </c>
      <c r="D12" s="30" t="s">
        <v>222</v>
      </c>
      <c r="E12" s="30">
        <v>42</v>
      </c>
      <c r="F12" s="30" t="s">
        <v>159</v>
      </c>
      <c r="G12" s="30" t="s">
        <v>159</v>
      </c>
      <c r="H12">
        <v>1.6047955515377177</v>
      </c>
      <c r="I12" s="30" t="s">
        <v>159</v>
      </c>
      <c r="J12" t="s">
        <v>345</v>
      </c>
      <c r="K12" s="1" t="s">
        <v>338</v>
      </c>
      <c r="L12" s="1" t="s">
        <v>306</v>
      </c>
      <c r="M12" t="s">
        <v>159</v>
      </c>
      <c r="N12" t="s">
        <v>159</v>
      </c>
      <c r="O12">
        <v>1.67593958096271</v>
      </c>
    </row>
    <row r="13" spans="1:15" x14ac:dyDescent="0.2">
      <c r="A13" s="30" t="s">
        <v>75</v>
      </c>
      <c r="B13" s="30" t="s">
        <v>221</v>
      </c>
      <c r="C13" s="30" t="s">
        <v>223</v>
      </c>
      <c r="D13" s="30" t="s">
        <v>224</v>
      </c>
      <c r="E13" s="30">
        <v>42</v>
      </c>
      <c r="F13">
        <v>14.248750861213267</v>
      </c>
      <c r="G13">
        <v>0.18925638099460898</v>
      </c>
      <c r="H13">
        <v>0.79893434161744148</v>
      </c>
      <c r="I13" s="1">
        <v>65.857923799999995</v>
      </c>
      <c r="J13" t="s">
        <v>346</v>
      </c>
      <c r="K13" s="1" t="s">
        <v>159</v>
      </c>
      <c r="L13" s="1" t="s">
        <v>347</v>
      </c>
      <c r="M13">
        <f t="shared" si="0"/>
        <v>9.8804713557774129</v>
      </c>
      <c r="N13">
        <f t="shared" si="1"/>
        <v>0.13312293839160796</v>
      </c>
      <c r="O13">
        <v>1.7767812656492363</v>
      </c>
    </row>
    <row r="14" spans="1:15" x14ac:dyDescent="0.2">
      <c r="A14" s="30" t="s">
        <v>52</v>
      </c>
      <c r="B14" s="30" t="s">
        <v>52</v>
      </c>
      <c r="C14" s="30" t="s">
        <v>65</v>
      </c>
      <c r="D14" s="30" t="s">
        <v>237</v>
      </c>
      <c r="E14" s="30">
        <v>42</v>
      </c>
      <c r="F14">
        <v>11.8819329041612</v>
      </c>
      <c r="G14">
        <v>5.10199719762683E-2</v>
      </c>
      <c r="H14">
        <v>1.698316766666667</v>
      </c>
      <c r="I14">
        <v>105.0972939555802</v>
      </c>
      <c r="J14" t="s">
        <v>320</v>
      </c>
      <c r="K14" t="s">
        <v>323</v>
      </c>
      <c r="L14" s="1" t="s">
        <v>347</v>
      </c>
      <c r="M14">
        <f t="shared" si="0"/>
        <v>8.2156516047869896</v>
      </c>
      <c r="N14">
        <f t="shared" si="1"/>
        <v>3.5887448288107124E-2</v>
      </c>
      <c r="O14">
        <v>1.5332225277035672</v>
      </c>
    </row>
    <row r="15" spans="1:15" x14ac:dyDescent="0.2">
      <c r="A15" s="30" t="s">
        <v>52</v>
      </c>
      <c r="B15" s="30" t="s">
        <v>52</v>
      </c>
      <c r="C15" s="30" t="s">
        <v>65</v>
      </c>
      <c r="D15" s="30" t="s">
        <v>238</v>
      </c>
      <c r="E15" s="30">
        <v>42</v>
      </c>
      <c r="F15">
        <v>11.6564317141668</v>
      </c>
      <c r="G15">
        <v>7.24268377731591E-2</v>
      </c>
      <c r="H15">
        <v>1.7086124933333335</v>
      </c>
      <c r="I15">
        <v>105.61274326027699</v>
      </c>
      <c r="J15" t="s">
        <v>322</v>
      </c>
      <c r="K15" t="s">
        <v>324</v>
      </c>
      <c r="L15" s="1" t="s">
        <v>347</v>
      </c>
      <c r="M15">
        <f t="shared" si="0"/>
        <v>8.0570340677449277</v>
      </c>
      <c r="N15">
        <f t="shared" si="1"/>
        <v>5.0945037689640114E-2</v>
      </c>
      <c r="O15">
        <v>1.6476059021675429</v>
      </c>
    </row>
    <row r="16" spans="1:15" x14ac:dyDescent="0.2">
      <c r="A16" s="30" t="s">
        <v>52</v>
      </c>
      <c r="B16" s="30" t="s">
        <v>52</v>
      </c>
      <c r="C16" s="30" t="s">
        <v>65</v>
      </c>
      <c r="D16" s="30" t="s">
        <v>239</v>
      </c>
      <c r="E16" s="30">
        <v>42</v>
      </c>
      <c r="F16">
        <v>12.111129788784201</v>
      </c>
      <c r="G16">
        <v>5.3758403819898298E-2</v>
      </c>
      <c r="H16">
        <v>1.7660216166666667</v>
      </c>
      <c r="I16">
        <v>108.20686849998475</v>
      </c>
      <c r="J16" t="s">
        <v>325</v>
      </c>
      <c r="K16" t="s">
        <v>321</v>
      </c>
      <c r="L16" s="1" t="s">
        <v>347</v>
      </c>
      <c r="M16">
        <f t="shared" si="0"/>
        <v>8.3768686934308079</v>
      </c>
      <c r="N16">
        <f t="shared" si="1"/>
        <v>3.7813661246916465E-2</v>
      </c>
      <c r="O16">
        <v>1.6426364271476619</v>
      </c>
    </row>
    <row r="17" spans="1:15" x14ac:dyDescent="0.2">
      <c r="A17" s="30" t="s">
        <v>52</v>
      </c>
      <c r="B17" s="30" t="s">
        <v>52</v>
      </c>
      <c r="C17" s="30" t="s">
        <v>65</v>
      </c>
      <c r="D17" s="30" t="s">
        <v>240</v>
      </c>
      <c r="E17" s="30">
        <v>42</v>
      </c>
      <c r="F17">
        <v>11.779276002204901</v>
      </c>
      <c r="G17">
        <v>4.7617032678725399E-2</v>
      </c>
      <c r="H17">
        <v>1.7563577533333332</v>
      </c>
      <c r="I17">
        <v>108.65208676321053</v>
      </c>
      <c r="J17" t="s">
        <v>318</v>
      </c>
      <c r="K17" t="s">
        <v>319</v>
      </c>
      <c r="L17" t="s">
        <v>306</v>
      </c>
      <c r="M17">
        <f t="shared" si="0"/>
        <v>8.1434427399509275</v>
      </c>
      <c r="N17">
        <f t="shared" si="1"/>
        <v>3.3493820786215447E-2</v>
      </c>
      <c r="O17">
        <v>1.5397161297707624</v>
      </c>
    </row>
    <row r="18" spans="1:15" x14ac:dyDescent="0.2">
      <c r="A18" s="30" t="s">
        <v>52</v>
      </c>
      <c r="B18" s="30" t="s">
        <v>52</v>
      </c>
      <c r="C18" s="30" t="s">
        <v>65</v>
      </c>
      <c r="D18" s="30" t="s">
        <v>245</v>
      </c>
      <c r="E18" s="30">
        <v>42</v>
      </c>
      <c r="F18">
        <v>11.495102356581</v>
      </c>
      <c r="G18">
        <v>6.3347697473191106E-2</v>
      </c>
      <c r="H18">
        <v>1.7975398533333333</v>
      </c>
      <c r="I18">
        <v>109.79265103779352</v>
      </c>
      <c r="J18" t="s">
        <v>316</v>
      </c>
      <c r="K18" t="s">
        <v>317</v>
      </c>
      <c r="L18" t="s">
        <v>306</v>
      </c>
      <c r="M18">
        <f t="shared" si="0"/>
        <v>7.9435549976190751</v>
      </c>
      <c r="N18">
        <f t="shared" si="1"/>
        <v>4.4558770402642625E-2</v>
      </c>
      <c r="O18">
        <v>1.4837304410510468</v>
      </c>
    </row>
    <row r="19" spans="1:15" x14ac:dyDescent="0.2">
      <c r="A19" s="30" t="s">
        <v>52</v>
      </c>
      <c r="B19" s="30" t="s">
        <v>52</v>
      </c>
      <c r="C19" s="30" t="s">
        <v>223</v>
      </c>
      <c r="D19" s="30" t="s">
        <v>241</v>
      </c>
      <c r="E19" s="30">
        <v>42</v>
      </c>
      <c r="F19">
        <v>14.368520389778601</v>
      </c>
      <c r="G19">
        <v>0.19627284545142701</v>
      </c>
      <c r="H19">
        <v>0.66219754666666664</v>
      </c>
      <c r="I19">
        <v>52.201901968577829</v>
      </c>
      <c r="J19" t="s">
        <v>315</v>
      </c>
      <c r="K19" t="s">
        <v>314</v>
      </c>
      <c r="L19" s="1" t="s">
        <v>347</v>
      </c>
      <c r="M19">
        <f t="shared" si="0"/>
        <v>9.9647172421702681</v>
      </c>
      <c r="N19">
        <f t="shared" si="1"/>
        <v>0.13805831949053377</v>
      </c>
      <c r="O19">
        <v>1.6474117927420631</v>
      </c>
    </row>
    <row r="20" spans="1:15" x14ac:dyDescent="0.2">
      <c r="A20" s="30" t="s">
        <v>52</v>
      </c>
      <c r="B20" s="30" t="s">
        <v>52</v>
      </c>
      <c r="C20" s="30" t="s">
        <v>223</v>
      </c>
      <c r="D20" s="30" t="s">
        <v>246</v>
      </c>
      <c r="E20" s="30">
        <v>42</v>
      </c>
      <c r="F20">
        <v>14.339005059619399</v>
      </c>
      <c r="G20">
        <v>0.18560583815862899</v>
      </c>
      <c r="H20">
        <v>0.55828286999999999</v>
      </c>
      <c r="I20">
        <v>43.986069288784847</v>
      </c>
      <c r="J20" t="s">
        <v>312</v>
      </c>
      <c r="K20" t="s">
        <v>313</v>
      </c>
      <c r="L20" s="1" t="s">
        <v>306</v>
      </c>
      <c r="M20">
        <f t="shared" si="0"/>
        <v>9.9439561589362864</v>
      </c>
      <c r="N20">
        <f t="shared" si="1"/>
        <v>0.13055514656077963</v>
      </c>
      <c r="O20">
        <v>1.6872547443074652</v>
      </c>
    </row>
    <row r="21" spans="1:15" x14ac:dyDescent="0.2">
      <c r="A21" s="30" t="s">
        <v>52</v>
      </c>
      <c r="B21" s="30" t="s">
        <v>52</v>
      </c>
      <c r="C21" s="30" t="s">
        <v>223</v>
      </c>
      <c r="D21" s="30" t="s">
        <v>242</v>
      </c>
      <c r="E21" s="30">
        <v>42</v>
      </c>
      <c r="F21">
        <v>14.325137117289101</v>
      </c>
      <c r="G21">
        <v>0.17317678581642801</v>
      </c>
      <c r="H21">
        <v>0.65754798000000003</v>
      </c>
      <c r="I21">
        <v>54.078949388644759</v>
      </c>
      <c r="J21" t="s">
        <v>310</v>
      </c>
      <c r="K21" t="s">
        <v>311</v>
      </c>
      <c r="L21" s="1" t="s">
        <v>347</v>
      </c>
      <c r="M21">
        <f t="shared" si="0"/>
        <v>9.9342014483011543</v>
      </c>
      <c r="N21">
        <f t="shared" si="1"/>
        <v>0.12181255114327547</v>
      </c>
      <c r="O21">
        <v>1.9269592232426433</v>
      </c>
    </row>
    <row r="22" spans="1:15" x14ac:dyDescent="0.2">
      <c r="A22" s="30" t="s">
        <v>52</v>
      </c>
      <c r="B22" s="30" t="s">
        <v>52</v>
      </c>
      <c r="C22" s="30" t="s">
        <v>223</v>
      </c>
      <c r="D22" s="30" t="s">
        <v>243</v>
      </c>
      <c r="E22" s="30">
        <v>42</v>
      </c>
      <c r="F22">
        <v>14.221581403179201</v>
      </c>
      <c r="G22">
        <v>0.18864349547908299</v>
      </c>
      <c r="H22">
        <v>0.55492286999999996</v>
      </c>
      <c r="I22">
        <v>53.489782927255128</v>
      </c>
      <c r="J22" t="s">
        <v>307</v>
      </c>
      <c r="K22" t="s">
        <v>309</v>
      </c>
      <c r="L22" s="1" t="s">
        <v>347</v>
      </c>
      <c r="M22">
        <f t="shared" si="0"/>
        <v>9.8613603589962509</v>
      </c>
      <c r="N22">
        <f t="shared" si="1"/>
        <v>0.13269183471998697</v>
      </c>
      <c r="O22">
        <v>2.1278696552228</v>
      </c>
    </row>
    <row r="23" spans="1:15" x14ac:dyDescent="0.2">
      <c r="A23" s="30" t="s">
        <v>52</v>
      </c>
      <c r="B23" s="30" t="s">
        <v>52</v>
      </c>
      <c r="C23" s="30" t="s">
        <v>223</v>
      </c>
      <c r="D23" s="30" t="s">
        <v>244</v>
      </c>
      <c r="E23" s="30">
        <v>42</v>
      </c>
      <c r="F23">
        <v>14.3161836676957</v>
      </c>
      <c r="G23">
        <v>0.195769562107482</v>
      </c>
      <c r="H23">
        <v>0.48700006999999995</v>
      </c>
      <c r="I23">
        <v>40.262124121768608</v>
      </c>
      <c r="J23" t="s">
        <v>304</v>
      </c>
      <c r="K23" t="s">
        <v>305</v>
      </c>
      <c r="L23" t="s">
        <v>306</v>
      </c>
      <c r="M23">
        <f t="shared" si="0"/>
        <v>9.9279035918571559</v>
      </c>
      <c r="N23">
        <f t="shared" si="1"/>
        <v>0.13770430998640285</v>
      </c>
      <c r="O23">
        <v>1.9954234090515515</v>
      </c>
    </row>
    <row r="24" spans="1:15" x14ac:dyDescent="0.2">
      <c r="A24" s="30" t="s">
        <v>52</v>
      </c>
      <c r="B24" s="30" t="s">
        <v>221</v>
      </c>
      <c r="C24" s="30" t="s">
        <v>65</v>
      </c>
      <c r="D24" s="30" t="s">
        <v>225</v>
      </c>
      <c r="E24" s="30">
        <v>42</v>
      </c>
      <c r="F24">
        <v>13.145038903020501</v>
      </c>
      <c r="G24">
        <v>5.6155326137436297E-2</v>
      </c>
      <c r="H24">
        <v>1.62726299</v>
      </c>
      <c r="I24">
        <v>98.374316758124507</v>
      </c>
      <c r="J24" t="s">
        <v>346</v>
      </c>
      <c r="K24" t="s">
        <v>159</v>
      </c>
      <c r="L24" s="1" t="s">
        <v>347</v>
      </c>
      <c r="M24">
        <f t="shared" si="0"/>
        <v>9.104120364384622</v>
      </c>
      <c r="N24">
        <f t="shared" si="1"/>
        <v>3.9499656405072692E-2</v>
      </c>
      <c r="O24">
        <v>1.3796083721847459</v>
      </c>
    </row>
    <row r="25" spans="1:15" x14ac:dyDescent="0.2">
      <c r="A25" s="30" t="s">
        <v>52</v>
      </c>
      <c r="B25" s="30" t="s">
        <v>221</v>
      </c>
      <c r="C25" s="30" t="s">
        <v>223</v>
      </c>
      <c r="D25" s="30" t="s">
        <v>226</v>
      </c>
      <c r="E25" s="30">
        <v>42</v>
      </c>
      <c r="F25">
        <v>14.8593412608019</v>
      </c>
      <c r="G25">
        <v>8.9016567579546901E-2</v>
      </c>
      <c r="H25">
        <v>0.32663413666666669</v>
      </c>
      <c r="I25">
        <v>25.07028483150928</v>
      </c>
      <c r="J25" t="s">
        <v>346</v>
      </c>
      <c r="K25" t="s">
        <v>159</v>
      </c>
      <c r="L25" s="1" t="s">
        <v>347</v>
      </c>
      <c r="M25">
        <f t="shared" si="0"/>
        <v>10.309960642848058</v>
      </c>
      <c r="N25">
        <f t="shared" si="1"/>
        <v>6.2614253635453296E-2</v>
      </c>
      <c r="O25">
        <v>1.4092738734005323</v>
      </c>
    </row>
    <row r="26" spans="1:15" x14ac:dyDescent="0.2">
      <c r="A26" s="30"/>
      <c r="B26" s="30"/>
      <c r="C26" s="30"/>
      <c r="D26" s="30"/>
      <c r="E26" s="30"/>
    </row>
    <row r="27" spans="1:15" x14ac:dyDescent="0.2">
      <c r="A27" s="30"/>
      <c r="B27" s="30"/>
      <c r="C27" s="30"/>
      <c r="D27" s="30"/>
      <c r="E27" s="30"/>
    </row>
    <row r="28" spans="1:15" x14ac:dyDescent="0.2">
      <c r="A28" s="30"/>
      <c r="B28" s="30"/>
      <c r="C28" s="30"/>
      <c r="D28" s="30"/>
      <c r="E28" s="30"/>
    </row>
    <row r="29" spans="1:15" x14ac:dyDescent="0.2">
      <c r="A29" s="30"/>
      <c r="B29" s="30"/>
      <c r="C29" s="30"/>
      <c r="D29" s="30"/>
      <c r="E29" s="30"/>
    </row>
    <row r="30" spans="1:15" x14ac:dyDescent="0.2">
      <c r="A30" s="30"/>
      <c r="B30" s="30"/>
      <c r="C30" s="30"/>
      <c r="D30" s="30"/>
      <c r="E30" s="30"/>
    </row>
    <row r="31" spans="1:15" x14ac:dyDescent="0.2">
      <c r="A31" s="30"/>
      <c r="B31" s="30"/>
      <c r="C31" s="30"/>
      <c r="D31" s="30"/>
      <c r="E31" s="30"/>
    </row>
    <row r="32" spans="1:15" x14ac:dyDescent="0.2">
      <c r="A32" s="30"/>
      <c r="B32" s="30"/>
      <c r="C32" s="30"/>
      <c r="D32" s="30"/>
      <c r="E32" s="30"/>
    </row>
    <row r="33" spans="1:5" x14ac:dyDescent="0.2">
      <c r="A33" s="30"/>
      <c r="B33" s="30"/>
      <c r="C33" s="30"/>
      <c r="D33" s="30"/>
      <c r="E33" s="30"/>
    </row>
    <row r="34" spans="1:5" x14ac:dyDescent="0.2">
      <c r="A34" s="30"/>
      <c r="B34" s="30"/>
      <c r="C34" s="30"/>
      <c r="D34" s="30"/>
      <c r="E34" s="30"/>
    </row>
    <row r="35" spans="1:5" x14ac:dyDescent="0.2">
      <c r="A35" s="30"/>
      <c r="B35" s="30"/>
      <c r="C35" s="30"/>
      <c r="D35" s="30"/>
      <c r="E35" s="30"/>
    </row>
    <row r="36" spans="1:5" x14ac:dyDescent="0.2">
      <c r="A36" s="30"/>
      <c r="B36" s="30"/>
      <c r="C36" s="30"/>
      <c r="D36" s="30"/>
      <c r="E36" s="30"/>
    </row>
    <row r="37" spans="1:5" x14ac:dyDescent="0.2">
      <c r="A37" s="30"/>
      <c r="B37" s="30"/>
      <c r="C37" s="30"/>
      <c r="D37" s="30"/>
      <c r="E37" s="30"/>
    </row>
    <row r="38" spans="1:5" x14ac:dyDescent="0.2">
      <c r="A38" s="30"/>
      <c r="B38" s="30"/>
      <c r="C38" s="30"/>
      <c r="D38" s="30"/>
      <c r="E38" s="30"/>
    </row>
    <row r="39" spans="1:5" x14ac:dyDescent="0.2">
      <c r="A39" s="30"/>
      <c r="B39" s="30"/>
      <c r="C39" s="30"/>
      <c r="D39" s="30"/>
      <c r="E39" s="30"/>
    </row>
    <row r="40" spans="1:5" x14ac:dyDescent="0.2">
      <c r="A40" s="30"/>
      <c r="B40" s="30"/>
      <c r="C40" s="30"/>
      <c r="D40" s="30"/>
      <c r="E40" s="30"/>
    </row>
    <row r="41" spans="1:5" x14ac:dyDescent="0.2">
      <c r="A41" s="30"/>
      <c r="B41" s="30"/>
      <c r="C41" s="30"/>
      <c r="D41" s="30"/>
      <c r="E41" s="30"/>
    </row>
    <row r="42" spans="1:5" x14ac:dyDescent="0.2">
      <c r="A42" s="30"/>
      <c r="B42" s="30"/>
      <c r="C42" s="30"/>
      <c r="D42" s="30"/>
      <c r="E42" s="30"/>
    </row>
    <row r="43" spans="1:5" x14ac:dyDescent="0.2">
      <c r="A43" s="30"/>
      <c r="B43" s="30"/>
      <c r="C43" s="30"/>
      <c r="D43" s="30"/>
      <c r="E43" s="30"/>
    </row>
    <row r="44" spans="1:5" x14ac:dyDescent="0.2">
      <c r="A44" s="30"/>
      <c r="B44" s="30"/>
      <c r="C44" s="30"/>
      <c r="D44" s="30"/>
      <c r="E44" s="30"/>
    </row>
    <row r="45" spans="1:5" x14ac:dyDescent="0.2">
      <c r="A45" s="30"/>
      <c r="B45" s="30"/>
      <c r="C45" s="30"/>
      <c r="D45" s="30"/>
      <c r="E45" s="30"/>
    </row>
    <row r="46" spans="1:5" x14ac:dyDescent="0.2">
      <c r="A46" s="30"/>
      <c r="B46" s="30"/>
      <c r="C46" s="30"/>
      <c r="D46" s="30"/>
      <c r="E46" s="30"/>
    </row>
    <row r="47" spans="1:5" x14ac:dyDescent="0.2">
      <c r="A47" s="30"/>
      <c r="B47" s="30"/>
      <c r="C47" s="30"/>
      <c r="D47" s="30"/>
      <c r="E47" s="30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D50B5-4171-AA45-BF14-E4FD39E48E0A}">
  <dimension ref="A1:G2161"/>
  <sheetViews>
    <sheetView topLeftCell="A681" zoomScale="60" zoomScaleNormal="60" workbookViewId="0">
      <selection activeCell="F47" sqref="F47"/>
    </sheetView>
  </sheetViews>
  <sheetFormatPr baseColWidth="10" defaultRowHeight="16" x14ac:dyDescent="0.2"/>
  <cols>
    <col min="1" max="7" width="10.83203125" style="35"/>
  </cols>
  <sheetData>
    <row r="1" spans="1:7" x14ac:dyDescent="0.2">
      <c r="A1" s="34" t="s">
        <v>217</v>
      </c>
      <c r="B1" s="34" t="s">
        <v>155</v>
      </c>
      <c r="C1" s="34" t="s">
        <v>218</v>
      </c>
      <c r="D1" s="34" t="s">
        <v>220</v>
      </c>
      <c r="E1" s="34" t="s">
        <v>219</v>
      </c>
      <c r="F1" s="34" t="s">
        <v>300</v>
      </c>
      <c r="G1" s="37" t="s">
        <v>351</v>
      </c>
    </row>
    <row r="2" spans="1:7" x14ac:dyDescent="0.2">
      <c r="A2" s="34" t="s">
        <v>75</v>
      </c>
      <c r="B2" s="34" t="s">
        <v>75</v>
      </c>
      <c r="C2" s="34" t="s">
        <v>65</v>
      </c>
      <c r="D2" s="34" t="s">
        <v>233</v>
      </c>
      <c r="E2" s="32">
        <v>1.5</v>
      </c>
      <c r="F2" s="34" t="s">
        <v>301</v>
      </c>
      <c r="G2" s="32">
        <v>1.68633286</v>
      </c>
    </row>
    <row r="3" spans="1:7" x14ac:dyDescent="0.2">
      <c r="A3" s="34" t="s">
        <v>75</v>
      </c>
      <c r="B3" s="34" t="s">
        <v>75</v>
      </c>
      <c r="C3" s="34" t="s">
        <v>65</v>
      </c>
      <c r="D3" s="34" t="s">
        <v>227</v>
      </c>
      <c r="E3" s="32">
        <v>1.5</v>
      </c>
      <c r="F3" s="34" t="s">
        <v>301</v>
      </c>
      <c r="G3" s="32">
        <v>1.69115814</v>
      </c>
    </row>
    <row r="4" spans="1:7" x14ac:dyDescent="0.2">
      <c r="A4" s="34" t="s">
        <v>75</v>
      </c>
      <c r="B4" s="34" t="s">
        <v>75</v>
      </c>
      <c r="C4" s="34" t="s">
        <v>65</v>
      </c>
      <c r="D4" s="34" t="s">
        <v>228</v>
      </c>
      <c r="E4" s="32">
        <v>1.5</v>
      </c>
      <c r="F4" s="34" t="s">
        <v>301</v>
      </c>
      <c r="G4" s="32">
        <v>1.7339835299999999</v>
      </c>
    </row>
    <row r="5" spans="1:7" x14ac:dyDescent="0.2">
      <c r="A5" s="34" t="s">
        <v>75</v>
      </c>
      <c r="B5" s="34" t="s">
        <v>75</v>
      </c>
      <c r="C5" s="34" t="s">
        <v>65</v>
      </c>
      <c r="D5" s="34" t="s">
        <v>229</v>
      </c>
      <c r="E5" s="32">
        <v>1.5</v>
      </c>
      <c r="F5" s="34" t="s">
        <v>301</v>
      </c>
      <c r="G5" s="32">
        <v>1.71507637</v>
      </c>
    </row>
    <row r="6" spans="1:7" x14ac:dyDescent="0.2">
      <c r="A6" s="34" t="s">
        <v>75</v>
      </c>
      <c r="B6" s="34" t="s">
        <v>75</v>
      </c>
      <c r="C6" s="34" t="s">
        <v>65</v>
      </c>
      <c r="D6" s="34" t="s">
        <v>234</v>
      </c>
      <c r="E6" s="32">
        <v>1.5</v>
      </c>
      <c r="F6" s="34" t="s">
        <v>301</v>
      </c>
      <c r="G6" s="32">
        <v>1.8160002900000001</v>
      </c>
    </row>
    <row r="7" spans="1:7" x14ac:dyDescent="0.2">
      <c r="A7" s="34" t="s">
        <v>75</v>
      </c>
      <c r="B7" s="34" t="s">
        <v>75</v>
      </c>
      <c r="C7" s="34" t="s">
        <v>223</v>
      </c>
      <c r="D7" s="34" t="s">
        <v>230</v>
      </c>
      <c r="E7" s="32">
        <v>1.5</v>
      </c>
      <c r="F7" s="34" t="s">
        <v>301</v>
      </c>
      <c r="G7" s="32">
        <v>0.62680694999999997</v>
      </c>
    </row>
    <row r="8" spans="1:7" x14ac:dyDescent="0.2">
      <c r="A8" s="34" t="s">
        <v>75</v>
      </c>
      <c r="B8" s="34" t="s">
        <v>75</v>
      </c>
      <c r="C8" s="34" t="s">
        <v>223</v>
      </c>
      <c r="D8" s="34" t="s">
        <v>231</v>
      </c>
      <c r="E8" s="32">
        <v>1.5</v>
      </c>
      <c r="F8" s="34" t="s">
        <v>301</v>
      </c>
      <c r="G8" s="32">
        <v>0.62835258999999999</v>
      </c>
    </row>
    <row r="9" spans="1:7" x14ac:dyDescent="0.2">
      <c r="A9" s="34" t="s">
        <v>75</v>
      </c>
      <c r="B9" s="34" t="s">
        <v>75</v>
      </c>
      <c r="C9" s="34" t="s">
        <v>223</v>
      </c>
      <c r="D9" s="34" t="s">
        <v>235</v>
      </c>
      <c r="E9" s="32">
        <v>1.5</v>
      </c>
      <c r="F9" s="34" t="s">
        <v>301</v>
      </c>
      <c r="G9" s="32">
        <v>0.67751952999999998</v>
      </c>
    </row>
    <row r="10" spans="1:7" x14ac:dyDescent="0.2">
      <c r="A10" s="34" t="s">
        <v>75</v>
      </c>
      <c r="B10" s="34" t="s">
        <v>75</v>
      </c>
      <c r="C10" s="34" t="s">
        <v>223</v>
      </c>
      <c r="D10" s="34" t="s">
        <v>232</v>
      </c>
      <c r="E10" s="32">
        <v>1.5</v>
      </c>
      <c r="F10" s="34" t="s">
        <v>301</v>
      </c>
      <c r="G10" s="32">
        <v>0.65284408000000005</v>
      </c>
    </row>
    <row r="11" spans="1:7" x14ac:dyDescent="0.2">
      <c r="A11" s="34" t="s">
        <v>75</v>
      </c>
      <c r="B11" s="34" t="s">
        <v>75</v>
      </c>
      <c r="C11" s="34" t="s">
        <v>223</v>
      </c>
      <c r="D11" s="34" t="s">
        <v>236</v>
      </c>
      <c r="E11" s="32">
        <v>1.5</v>
      </c>
      <c r="F11" s="34" t="s">
        <v>301</v>
      </c>
      <c r="G11" s="32">
        <v>0.69680213000000002</v>
      </c>
    </row>
    <row r="12" spans="1:7" x14ac:dyDescent="0.2">
      <c r="A12" s="34" t="s">
        <v>75</v>
      </c>
      <c r="B12" s="34" t="s">
        <v>221</v>
      </c>
      <c r="C12" s="34" t="s">
        <v>65</v>
      </c>
      <c r="D12" s="34" t="s">
        <v>222</v>
      </c>
      <c r="E12" s="32">
        <v>1.5</v>
      </c>
      <c r="F12" s="34" t="s">
        <v>301</v>
      </c>
      <c r="G12" s="32">
        <v>1.5593907499999999</v>
      </c>
    </row>
    <row r="13" spans="1:7" x14ac:dyDescent="0.2">
      <c r="A13" s="34" t="s">
        <v>75</v>
      </c>
      <c r="B13" s="34" t="s">
        <v>221</v>
      </c>
      <c r="C13" s="34" t="s">
        <v>223</v>
      </c>
      <c r="D13" s="34" t="s">
        <v>224</v>
      </c>
      <c r="E13" s="32">
        <v>1.5</v>
      </c>
      <c r="F13" s="34" t="s">
        <v>301</v>
      </c>
      <c r="G13" s="32">
        <v>0.76650927999999996</v>
      </c>
    </row>
    <row r="14" spans="1:7" x14ac:dyDescent="0.2">
      <c r="A14" s="34" t="s">
        <v>52</v>
      </c>
      <c r="B14" s="34" t="s">
        <v>52</v>
      </c>
      <c r="C14" s="34" t="s">
        <v>65</v>
      </c>
      <c r="D14" s="34" t="s">
        <v>237</v>
      </c>
      <c r="E14" s="32">
        <v>1.5</v>
      </c>
      <c r="F14" s="34" t="s">
        <v>301</v>
      </c>
      <c r="G14" s="35">
        <v>1.5205786552878424</v>
      </c>
    </row>
    <row r="15" spans="1:7" x14ac:dyDescent="0.2">
      <c r="A15" s="34" t="s">
        <v>52</v>
      </c>
      <c r="B15" s="34" t="s">
        <v>52</v>
      </c>
      <c r="C15" s="34" t="s">
        <v>65</v>
      </c>
      <c r="D15" s="34" t="s">
        <v>238</v>
      </c>
      <c r="E15" s="32">
        <v>1.5</v>
      </c>
      <c r="F15" s="34" t="s">
        <v>301</v>
      </c>
      <c r="G15" s="35">
        <v>1.5191014741406579</v>
      </c>
    </row>
    <row r="16" spans="1:7" x14ac:dyDescent="0.2">
      <c r="A16" s="34" t="s">
        <v>52</v>
      </c>
      <c r="B16" s="34" t="s">
        <v>52</v>
      </c>
      <c r="C16" s="34" t="s">
        <v>65</v>
      </c>
      <c r="D16" s="34" t="s">
        <v>239</v>
      </c>
      <c r="E16" s="32">
        <v>1.5</v>
      </c>
      <c r="F16" s="34" t="s">
        <v>301</v>
      </c>
      <c r="G16" s="35">
        <v>1.6400099818424134</v>
      </c>
    </row>
    <row r="17" spans="1:7" x14ac:dyDescent="0.2">
      <c r="A17" s="34" t="s">
        <v>52</v>
      </c>
      <c r="B17" s="34" t="s">
        <v>52</v>
      </c>
      <c r="C17" s="34" t="s">
        <v>65</v>
      </c>
      <c r="D17" s="34" t="s">
        <v>240</v>
      </c>
      <c r="E17" s="32">
        <v>1.5</v>
      </c>
      <c r="F17" s="34" t="s">
        <v>301</v>
      </c>
      <c r="G17" s="35">
        <v>1.5783130766205351</v>
      </c>
    </row>
    <row r="18" spans="1:7" x14ac:dyDescent="0.2">
      <c r="A18" s="34" t="s">
        <v>52</v>
      </c>
      <c r="B18" s="34" t="s">
        <v>52</v>
      </c>
      <c r="C18" s="34" t="s">
        <v>65</v>
      </c>
      <c r="D18" s="34" t="s">
        <v>245</v>
      </c>
      <c r="E18" s="32">
        <v>1.5</v>
      </c>
      <c r="F18" s="34" t="s">
        <v>301</v>
      </c>
      <c r="G18" s="35">
        <v>1.6436944100882513</v>
      </c>
    </row>
    <row r="19" spans="1:7" x14ac:dyDescent="0.2">
      <c r="A19" s="34" t="s">
        <v>52</v>
      </c>
      <c r="B19" s="34" t="s">
        <v>52</v>
      </c>
      <c r="C19" s="34" t="s">
        <v>223</v>
      </c>
      <c r="D19" s="34" t="s">
        <v>241</v>
      </c>
      <c r="E19" s="32">
        <v>1.5</v>
      </c>
      <c r="F19" s="34" t="s">
        <v>301</v>
      </c>
      <c r="G19" s="35">
        <v>0.8406868165482162</v>
      </c>
    </row>
    <row r="20" spans="1:7" x14ac:dyDescent="0.2">
      <c r="A20" s="34" t="s">
        <v>52</v>
      </c>
      <c r="B20" s="34" t="s">
        <v>52</v>
      </c>
      <c r="C20" s="34" t="s">
        <v>223</v>
      </c>
      <c r="D20" s="34" t="s">
        <v>246</v>
      </c>
      <c r="E20" s="32">
        <v>1.5</v>
      </c>
      <c r="F20" s="34" t="s">
        <v>301</v>
      </c>
      <c r="G20" s="35">
        <v>0.63321217500751648</v>
      </c>
    </row>
    <row r="21" spans="1:7" x14ac:dyDescent="0.2">
      <c r="A21" s="34" t="s">
        <v>52</v>
      </c>
      <c r="B21" s="34" t="s">
        <v>52</v>
      </c>
      <c r="C21" s="34" t="s">
        <v>223</v>
      </c>
      <c r="D21" s="34" t="s">
        <v>242</v>
      </c>
      <c r="E21" s="32">
        <v>1.5</v>
      </c>
      <c r="F21" s="34" t="s">
        <v>301</v>
      </c>
      <c r="G21" s="35">
        <v>0.67426291919900694</v>
      </c>
    </row>
    <row r="22" spans="1:7" x14ac:dyDescent="0.2">
      <c r="A22" s="34" t="s">
        <v>52</v>
      </c>
      <c r="B22" s="34" t="s">
        <v>52</v>
      </c>
      <c r="C22" s="34" t="s">
        <v>223</v>
      </c>
      <c r="D22" s="34" t="s">
        <v>243</v>
      </c>
      <c r="E22" s="32">
        <v>1.5</v>
      </c>
      <c r="F22" s="34" t="s">
        <v>301</v>
      </c>
      <c r="G22" s="35">
        <v>0.75519962938103158</v>
      </c>
    </row>
    <row r="23" spans="1:7" x14ac:dyDescent="0.2">
      <c r="A23" s="34" t="s">
        <v>52</v>
      </c>
      <c r="B23" s="34" t="s">
        <v>52</v>
      </c>
      <c r="C23" s="34" t="s">
        <v>223</v>
      </c>
      <c r="D23" s="34" t="s">
        <v>244</v>
      </c>
      <c r="E23" s="32">
        <v>1.5</v>
      </c>
      <c r="F23" s="34" t="s">
        <v>301</v>
      </c>
      <c r="G23" s="35">
        <v>0.64172233022058367</v>
      </c>
    </row>
    <row r="24" spans="1:7" x14ac:dyDescent="0.2">
      <c r="A24" s="34" t="s">
        <v>52</v>
      </c>
      <c r="B24" s="34" t="s">
        <v>221</v>
      </c>
      <c r="C24" s="34" t="s">
        <v>65</v>
      </c>
      <c r="D24" s="34" t="s">
        <v>225</v>
      </c>
      <c r="E24" s="32">
        <v>1.5</v>
      </c>
      <c r="F24" s="34" t="s">
        <v>301</v>
      </c>
      <c r="G24" s="35">
        <v>1.4555829756001508</v>
      </c>
    </row>
    <row r="25" spans="1:7" x14ac:dyDescent="0.2">
      <c r="A25" s="34" t="s">
        <v>52</v>
      </c>
      <c r="B25" s="34" t="s">
        <v>221</v>
      </c>
      <c r="C25" s="34" t="s">
        <v>223</v>
      </c>
      <c r="D25" s="34" t="s">
        <v>226</v>
      </c>
      <c r="E25" s="32">
        <v>1.5</v>
      </c>
      <c r="F25" s="34" t="s">
        <v>301</v>
      </c>
      <c r="G25" s="35">
        <v>0.82414049165970982</v>
      </c>
    </row>
    <row r="26" spans="1:7" x14ac:dyDescent="0.2">
      <c r="A26" s="34" t="s">
        <v>75</v>
      </c>
      <c r="B26" s="34" t="s">
        <v>75</v>
      </c>
      <c r="C26" s="34" t="s">
        <v>65</v>
      </c>
      <c r="D26" s="34" t="s">
        <v>233</v>
      </c>
      <c r="E26" s="32">
        <v>4.5</v>
      </c>
      <c r="F26" s="34" t="s">
        <v>301</v>
      </c>
      <c r="G26" s="32">
        <v>1.6671008199999999</v>
      </c>
    </row>
    <row r="27" spans="1:7" x14ac:dyDescent="0.2">
      <c r="A27" s="34" t="s">
        <v>75</v>
      </c>
      <c r="B27" s="34" t="s">
        <v>75</v>
      </c>
      <c r="C27" s="34" t="s">
        <v>65</v>
      </c>
      <c r="D27" s="34" t="s">
        <v>227</v>
      </c>
      <c r="E27" s="32">
        <v>4.5</v>
      </c>
      <c r="F27" s="34" t="s">
        <v>301</v>
      </c>
      <c r="G27" s="32">
        <v>1.7208594800000001</v>
      </c>
    </row>
    <row r="28" spans="1:7" x14ac:dyDescent="0.2">
      <c r="A28" s="34" t="s">
        <v>75</v>
      </c>
      <c r="B28" s="34" t="s">
        <v>75</v>
      </c>
      <c r="C28" s="34" t="s">
        <v>65</v>
      </c>
      <c r="D28" s="34" t="s">
        <v>228</v>
      </c>
      <c r="E28" s="32">
        <v>4.5</v>
      </c>
      <c r="F28" s="34" t="s">
        <v>301</v>
      </c>
      <c r="G28" s="32">
        <v>1.5927073700000001</v>
      </c>
    </row>
    <row r="29" spans="1:7" x14ac:dyDescent="0.2">
      <c r="A29" s="34" t="s">
        <v>75</v>
      </c>
      <c r="B29" s="34" t="s">
        <v>75</v>
      </c>
      <c r="C29" s="34" t="s">
        <v>65</v>
      </c>
      <c r="D29" s="34" t="s">
        <v>229</v>
      </c>
      <c r="E29" s="32">
        <v>4.5</v>
      </c>
      <c r="F29" s="34" t="s">
        <v>301</v>
      </c>
      <c r="G29" s="32">
        <v>1.66362722</v>
      </c>
    </row>
    <row r="30" spans="1:7" x14ac:dyDescent="0.2">
      <c r="A30" s="34" t="s">
        <v>75</v>
      </c>
      <c r="B30" s="34" t="s">
        <v>75</v>
      </c>
      <c r="C30" s="34" t="s">
        <v>65</v>
      </c>
      <c r="D30" s="34" t="s">
        <v>234</v>
      </c>
      <c r="E30" s="32">
        <v>4.5</v>
      </c>
      <c r="F30" s="34" t="s">
        <v>301</v>
      </c>
      <c r="G30" s="32">
        <v>1.4876414899999999</v>
      </c>
    </row>
    <row r="31" spans="1:7" x14ac:dyDescent="0.2">
      <c r="A31" s="34" t="s">
        <v>75</v>
      </c>
      <c r="B31" s="34" t="s">
        <v>75</v>
      </c>
      <c r="C31" s="34" t="s">
        <v>223</v>
      </c>
      <c r="D31" s="34" t="s">
        <v>230</v>
      </c>
      <c r="E31" s="32">
        <v>4.5</v>
      </c>
      <c r="F31" s="34" t="s">
        <v>301</v>
      </c>
      <c r="G31" s="32">
        <v>0.42796877</v>
      </c>
    </row>
    <row r="32" spans="1:7" x14ac:dyDescent="0.2">
      <c r="A32" s="34" t="s">
        <v>75</v>
      </c>
      <c r="B32" s="34" t="s">
        <v>75</v>
      </c>
      <c r="C32" s="34" t="s">
        <v>223</v>
      </c>
      <c r="D32" s="34" t="s">
        <v>231</v>
      </c>
      <c r="E32" s="32">
        <v>4.5</v>
      </c>
      <c r="F32" s="34" t="s">
        <v>301</v>
      </c>
      <c r="G32" s="32">
        <v>0.39822366999999997</v>
      </c>
    </row>
    <row r="33" spans="1:7" x14ac:dyDescent="0.2">
      <c r="A33" s="34" t="s">
        <v>75</v>
      </c>
      <c r="B33" s="34" t="s">
        <v>75</v>
      </c>
      <c r="C33" s="34" t="s">
        <v>223</v>
      </c>
      <c r="D33" s="34" t="s">
        <v>235</v>
      </c>
      <c r="E33" s="32">
        <v>4.5</v>
      </c>
      <c r="F33" s="34" t="s">
        <v>301</v>
      </c>
      <c r="G33" s="32">
        <v>0.68059291</v>
      </c>
    </row>
    <row r="34" spans="1:7" x14ac:dyDescent="0.2">
      <c r="A34" s="34" t="s">
        <v>75</v>
      </c>
      <c r="B34" s="34" t="s">
        <v>75</v>
      </c>
      <c r="C34" s="34" t="s">
        <v>223</v>
      </c>
      <c r="D34" s="34" t="s">
        <v>232</v>
      </c>
      <c r="E34" s="32">
        <v>4.5</v>
      </c>
      <c r="F34" s="34" t="s">
        <v>301</v>
      </c>
      <c r="G34" s="32">
        <v>0.61358698</v>
      </c>
    </row>
    <row r="35" spans="1:7" x14ac:dyDescent="0.2">
      <c r="A35" s="34" t="s">
        <v>75</v>
      </c>
      <c r="B35" s="34" t="s">
        <v>75</v>
      </c>
      <c r="C35" s="34" t="s">
        <v>223</v>
      </c>
      <c r="D35" s="34" t="s">
        <v>236</v>
      </c>
      <c r="E35" s="32">
        <v>4.5</v>
      </c>
      <c r="F35" s="34" t="s">
        <v>301</v>
      </c>
      <c r="G35" s="32">
        <v>0.32619519000000002</v>
      </c>
    </row>
    <row r="36" spans="1:7" x14ac:dyDescent="0.2">
      <c r="A36" s="34" t="s">
        <v>75</v>
      </c>
      <c r="B36" s="34" t="s">
        <v>221</v>
      </c>
      <c r="C36" s="34" t="s">
        <v>65</v>
      </c>
      <c r="D36" s="34" t="s">
        <v>222</v>
      </c>
      <c r="E36" s="32">
        <v>4.5</v>
      </c>
      <c r="F36" s="34" t="s">
        <v>301</v>
      </c>
      <c r="G36" s="32">
        <v>1.65865756</v>
      </c>
    </row>
    <row r="37" spans="1:7" x14ac:dyDescent="0.2">
      <c r="A37" s="34" t="s">
        <v>75</v>
      </c>
      <c r="B37" s="34" t="s">
        <v>221</v>
      </c>
      <c r="C37" s="34" t="s">
        <v>223</v>
      </c>
      <c r="D37" s="34" t="s">
        <v>224</v>
      </c>
      <c r="E37" s="32">
        <v>4.5</v>
      </c>
      <c r="F37" s="34" t="s">
        <v>301</v>
      </c>
      <c r="G37" s="32">
        <v>0.52282043</v>
      </c>
    </row>
    <row r="38" spans="1:7" x14ac:dyDescent="0.2">
      <c r="A38" s="34" t="s">
        <v>52</v>
      </c>
      <c r="B38" s="34" t="s">
        <v>52</v>
      </c>
      <c r="C38" s="34" t="s">
        <v>65</v>
      </c>
      <c r="D38" s="34" t="s">
        <v>237</v>
      </c>
      <c r="E38" s="32">
        <v>4.5</v>
      </c>
      <c r="F38" s="34" t="s">
        <v>301</v>
      </c>
      <c r="G38" s="35">
        <v>1.672913127707832</v>
      </c>
    </row>
    <row r="39" spans="1:7" x14ac:dyDescent="0.2">
      <c r="A39" s="34" t="s">
        <v>52</v>
      </c>
      <c r="B39" s="34" t="s">
        <v>52</v>
      </c>
      <c r="C39" s="34" t="s">
        <v>65</v>
      </c>
      <c r="D39" s="34" t="s">
        <v>238</v>
      </c>
      <c r="E39" s="32">
        <v>4.5</v>
      </c>
      <c r="F39" s="34" t="s">
        <v>301</v>
      </c>
      <c r="G39" s="35">
        <v>1.7307723000922002</v>
      </c>
    </row>
    <row r="40" spans="1:7" x14ac:dyDescent="0.2">
      <c r="A40" s="34" t="s">
        <v>52</v>
      </c>
      <c r="B40" s="34" t="s">
        <v>52</v>
      </c>
      <c r="C40" s="34" t="s">
        <v>65</v>
      </c>
      <c r="D40" s="34" t="s">
        <v>239</v>
      </c>
      <c r="E40" s="32">
        <v>4.5</v>
      </c>
      <c r="F40" s="34" t="s">
        <v>301</v>
      </c>
      <c r="G40" s="35">
        <v>1.7442605381699547</v>
      </c>
    </row>
    <row r="41" spans="1:7" x14ac:dyDescent="0.2">
      <c r="A41" s="34" t="s">
        <v>52</v>
      </c>
      <c r="B41" s="34" t="s">
        <v>52</v>
      </c>
      <c r="C41" s="34" t="s">
        <v>65</v>
      </c>
      <c r="D41" s="34" t="s">
        <v>240</v>
      </c>
      <c r="E41" s="32">
        <v>4.5</v>
      </c>
      <c r="F41" s="34" t="s">
        <v>301</v>
      </c>
      <c r="G41" s="35">
        <v>1.7079333174997335</v>
      </c>
    </row>
    <row r="42" spans="1:7" x14ac:dyDescent="0.2">
      <c r="A42" s="34" t="s">
        <v>52</v>
      </c>
      <c r="B42" s="34" t="s">
        <v>52</v>
      </c>
      <c r="C42" s="34" t="s">
        <v>65</v>
      </c>
      <c r="D42" s="34" t="s">
        <v>245</v>
      </c>
      <c r="E42" s="32">
        <v>4.5</v>
      </c>
      <c r="F42" s="34" t="s">
        <v>301</v>
      </c>
      <c r="G42" s="35">
        <v>1.7794440289540445</v>
      </c>
    </row>
    <row r="43" spans="1:7" x14ac:dyDescent="0.2">
      <c r="A43" s="34" t="s">
        <v>52</v>
      </c>
      <c r="B43" s="34" t="s">
        <v>52</v>
      </c>
      <c r="C43" s="34" t="s">
        <v>223</v>
      </c>
      <c r="D43" s="34" t="s">
        <v>241</v>
      </c>
      <c r="E43" s="32">
        <v>4.5</v>
      </c>
      <c r="F43" s="34" t="s">
        <v>301</v>
      </c>
      <c r="G43" s="35">
        <v>0.49595128451096482</v>
      </c>
    </row>
    <row r="44" spans="1:7" x14ac:dyDescent="0.2">
      <c r="A44" s="34" t="s">
        <v>52</v>
      </c>
      <c r="B44" s="34" t="s">
        <v>52</v>
      </c>
      <c r="C44" s="34" t="s">
        <v>223</v>
      </c>
      <c r="D44" s="34" t="s">
        <v>246</v>
      </c>
      <c r="E44" s="32">
        <v>4.5</v>
      </c>
      <c r="F44" s="34" t="s">
        <v>301</v>
      </c>
      <c r="G44" s="35">
        <v>0.51931962061585557</v>
      </c>
    </row>
    <row r="45" spans="1:7" x14ac:dyDescent="0.2">
      <c r="A45" s="34" t="s">
        <v>52</v>
      </c>
      <c r="B45" s="34" t="s">
        <v>52</v>
      </c>
      <c r="C45" s="34" t="s">
        <v>223</v>
      </c>
      <c r="D45" s="34" t="s">
        <v>242</v>
      </c>
      <c r="E45" s="32">
        <v>4.5</v>
      </c>
      <c r="F45" s="34" t="s">
        <v>301</v>
      </c>
      <c r="G45" s="35">
        <v>0.42471394457819106</v>
      </c>
    </row>
    <row r="46" spans="1:7" x14ac:dyDescent="0.2">
      <c r="A46" s="34" t="s">
        <v>52</v>
      </c>
      <c r="B46" s="34" t="s">
        <v>52</v>
      </c>
      <c r="C46" s="34" t="s">
        <v>223</v>
      </c>
      <c r="D46" s="34" t="s">
        <v>243</v>
      </c>
      <c r="E46" s="32">
        <v>4.5</v>
      </c>
      <c r="F46" s="34" t="s">
        <v>301</v>
      </c>
      <c r="G46" s="35">
        <v>0.37487973689053788</v>
      </c>
    </row>
    <row r="47" spans="1:7" x14ac:dyDescent="0.2">
      <c r="A47" s="34" t="s">
        <v>52</v>
      </c>
      <c r="B47" s="34" t="s">
        <v>52</v>
      </c>
      <c r="C47" s="34" t="s">
        <v>223</v>
      </c>
      <c r="D47" s="34" t="s">
        <v>244</v>
      </c>
      <c r="E47" s="32">
        <v>4.5</v>
      </c>
      <c r="F47" s="34" t="s">
        <v>301</v>
      </c>
      <c r="G47" s="35">
        <v>0.48332284721173507</v>
      </c>
    </row>
    <row r="48" spans="1:7" x14ac:dyDescent="0.2">
      <c r="A48" s="34" t="s">
        <v>52</v>
      </c>
      <c r="B48" s="34" t="s">
        <v>221</v>
      </c>
      <c r="C48" s="34" t="s">
        <v>65</v>
      </c>
      <c r="D48" s="34" t="s">
        <v>225</v>
      </c>
      <c r="E48" s="32">
        <v>4.5</v>
      </c>
      <c r="F48" s="34" t="s">
        <v>301</v>
      </c>
      <c r="G48" s="35">
        <v>1.5070414053009304</v>
      </c>
    </row>
    <row r="49" spans="1:7" x14ac:dyDescent="0.2">
      <c r="A49" s="34" t="s">
        <v>52</v>
      </c>
      <c r="B49" s="34" t="s">
        <v>221</v>
      </c>
      <c r="C49" s="34" t="s">
        <v>223</v>
      </c>
      <c r="D49" s="34" t="s">
        <v>226</v>
      </c>
      <c r="E49" s="32">
        <v>4.5</v>
      </c>
      <c r="F49" s="34" t="s">
        <v>301</v>
      </c>
      <c r="G49" s="35">
        <v>0.6416255080736798</v>
      </c>
    </row>
    <row r="50" spans="1:7" x14ac:dyDescent="0.2">
      <c r="A50" s="34" t="s">
        <v>75</v>
      </c>
      <c r="B50" s="34" t="s">
        <v>75</v>
      </c>
      <c r="C50" s="34" t="s">
        <v>65</v>
      </c>
      <c r="D50" s="34" t="s">
        <v>233</v>
      </c>
      <c r="E50" s="32">
        <v>7.5</v>
      </c>
      <c r="F50" s="34" t="s">
        <v>301</v>
      </c>
      <c r="G50" s="32">
        <v>1.7415166200000001</v>
      </c>
    </row>
    <row r="51" spans="1:7" x14ac:dyDescent="0.2">
      <c r="A51" s="34" t="s">
        <v>75</v>
      </c>
      <c r="B51" s="34" t="s">
        <v>75</v>
      </c>
      <c r="C51" s="34" t="s">
        <v>65</v>
      </c>
      <c r="D51" s="34" t="s">
        <v>227</v>
      </c>
      <c r="E51" s="32">
        <v>7.5</v>
      </c>
      <c r="F51" s="34" t="s">
        <v>301</v>
      </c>
      <c r="G51" s="32">
        <v>1.7138198600000001</v>
      </c>
    </row>
    <row r="52" spans="1:7" x14ac:dyDescent="0.2">
      <c r="A52" s="34" t="s">
        <v>75</v>
      </c>
      <c r="B52" s="34" t="s">
        <v>75</v>
      </c>
      <c r="C52" s="34" t="s">
        <v>65</v>
      </c>
      <c r="D52" s="34" t="s">
        <v>228</v>
      </c>
      <c r="E52" s="32">
        <v>7.5</v>
      </c>
      <c r="F52" s="34" t="s">
        <v>301</v>
      </c>
      <c r="G52" s="32">
        <v>1.97137395</v>
      </c>
    </row>
    <row r="53" spans="1:7" x14ac:dyDescent="0.2">
      <c r="A53" s="34" t="s">
        <v>75</v>
      </c>
      <c r="B53" s="34" t="s">
        <v>75</v>
      </c>
      <c r="C53" s="34" t="s">
        <v>65</v>
      </c>
      <c r="D53" s="34" t="s">
        <v>229</v>
      </c>
      <c r="E53" s="32">
        <v>7.5</v>
      </c>
      <c r="F53" s="34" t="s">
        <v>301</v>
      </c>
      <c r="G53" s="32">
        <v>1.8903696699999999</v>
      </c>
    </row>
    <row r="54" spans="1:7" x14ac:dyDescent="0.2">
      <c r="A54" s="34" t="s">
        <v>75</v>
      </c>
      <c r="B54" s="34" t="s">
        <v>75</v>
      </c>
      <c r="C54" s="34" t="s">
        <v>65</v>
      </c>
      <c r="D54" s="34" t="s">
        <v>234</v>
      </c>
      <c r="E54" s="32">
        <v>7.5</v>
      </c>
      <c r="F54" s="34" t="s">
        <v>301</v>
      </c>
      <c r="G54" s="32">
        <v>2.08897778</v>
      </c>
    </row>
    <row r="55" spans="1:7" x14ac:dyDescent="0.2">
      <c r="A55" s="34" t="s">
        <v>75</v>
      </c>
      <c r="B55" s="34" t="s">
        <v>75</v>
      </c>
      <c r="C55" s="34" t="s">
        <v>223</v>
      </c>
      <c r="D55" s="34" t="s">
        <v>230</v>
      </c>
      <c r="E55" s="32">
        <v>7.5</v>
      </c>
      <c r="F55" s="34" t="s">
        <v>301</v>
      </c>
      <c r="G55" s="32">
        <v>0.93181692000000005</v>
      </c>
    </row>
    <row r="56" spans="1:7" x14ac:dyDescent="0.2">
      <c r="A56" s="34" t="s">
        <v>75</v>
      </c>
      <c r="B56" s="34" t="s">
        <v>75</v>
      </c>
      <c r="C56" s="34" t="s">
        <v>223</v>
      </c>
      <c r="D56" s="34" t="s">
        <v>231</v>
      </c>
      <c r="E56" s="32">
        <v>7.5</v>
      </c>
      <c r="F56" s="34" t="s">
        <v>301</v>
      </c>
      <c r="G56" s="32">
        <v>0.64827235000000005</v>
      </c>
    </row>
    <row r="57" spans="1:7" x14ac:dyDescent="0.2">
      <c r="A57" s="34" t="s">
        <v>75</v>
      </c>
      <c r="B57" s="34" t="s">
        <v>75</v>
      </c>
      <c r="C57" s="34" t="s">
        <v>223</v>
      </c>
      <c r="D57" s="34" t="s">
        <v>235</v>
      </c>
      <c r="E57" s="32">
        <v>7.5</v>
      </c>
      <c r="F57" s="34" t="s">
        <v>301</v>
      </c>
      <c r="G57" s="32">
        <v>0.61453150000000001</v>
      </c>
    </row>
    <row r="58" spans="1:7" x14ac:dyDescent="0.2">
      <c r="A58" s="34" t="s">
        <v>75</v>
      </c>
      <c r="B58" s="34" t="s">
        <v>75</v>
      </c>
      <c r="C58" s="34" t="s">
        <v>223</v>
      </c>
      <c r="D58" s="34" t="s">
        <v>232</v>
      </c>
      <c r="E58" s="32">
        <v>7.5</v>
      </c>
      <c r="F58" s="34" t="s">
        <v>301</v>
      </c>
      <c r="G58" s="32">
        <v>0.39833754999999998</v>
      </c>
    </row>
    <row r="59" spans="1:7" x14ac:dyDescent="0.2">
      <c r="A59" s="34" t="s">
        <v>75</v>
      </c>
      <c r="B59" s="34" t="s">
        <v>75</v>
      </c>
      <c r="C59" s="34" t="s">
        <v>223</v>
      </c>
      <c r="D59" s="34" t="s">
        <v>236</v>
      </c>
      <c r="E59" s="32">
        <v>7.5</v>
      </c>
      <c r="F59" s="34" t="s">
        <v>301</v>
      </c>
      <c r="G59" s="32">
        <v>0.43800288999999998</v>
      </c>
    </row>
    <row r="60" spans="1:7" x14ac:dyDescent="0.2">
      <c r="A60" s="34" t="s">
        <v>75</v>
      </c>
      <c r="B60" s="34" t="s">
        <v>221</v>
      </c>
      <c r="C60" s="34" t="s">
        <v>65</v>
      </c>
      <c r="D60" s="34" t="s">
        <v>222</v>
      </c>
      <c r="E60" s="32">
        <v>7.5</v>
      </c>
      <c r="F60" s="34" t="s">
        <v>301</v>
      </c>
      <c r="G60" s="32">
        <v>1.66374066</v>
      </c>
    </row>
    <row r="61" spans="1:7" x14ac:dyDescent="0.2">
      <c r="A61" s="34" t="s">
        <v>75</v>
      </c>
      <c r="B61" s="34" t="s">
        <v>221</v>
      </c>
      <c r="C61" s="34" t="s">
        <v>223</v>
      </c>
      <c r="D61" s="34" t="s">
        <v>224</v>
      </c>
      <c r="E61" s="32">
        <v>7.5</v>
      </c>
      <c r="F61" s="34" t="s">
        <v>301</v>
      </c>
      <c r="G61" s="32">
        <v>-0.30942730000000002</v>
      </c>
    </row>
    <row r="62" spans="1:7" x14ac:dyDescent="0.2">
      <c r="A62" s="34" t="s">
        <v>52</v>
      </c>
      <c r="B62" s="34" t="s">
        <v>52</v>
      </c>
      <c r="C62" s="34" t="s">
        <v>65</v>
      </c>
      <c r="D62" s="34" t="s">
        <v>237</v>
      </c>
      <c r="E62" s="32">
        <v>7.5</v>
      </c>
      <c r="F62" s="34" t="s">
        <v>301</v>
      </c>
      <c r="G62" s="35">
        <v>1.6594151564028692</v>
      </c>
    </row>
    <row r="63" spans="1:7" x14ac:dyDescent="0.2">
      <c r="A63" s="34" t="s">
        <v>52</v>
      </c>
      <c r="B63" s="34" t="s">
        <v>52</v>
      </c>
      <c r="C63" s="34" t="s">
        <v>65</v>
      </c>
      <c r="D63" s="34" t="s">
        <v>238</v>
      </c>
      <c r="E63" s="32">
        <v>7.5</v>
      </c>
      <c r="F63" s="34" t="s">
        <v>301</v>
      </c>
      <c r="G63" s="35">
        <v>1.6847062477278492</v>
      </c>
    </row>
    <row r="64" spans="1:7" x14ac:dyDescent="0.2">
      <c r="A64" s="34" t="s">
        <v>52</v>
      </c>
      <c r="B64" s="34" t="s">
        <v>52</v>
      </c>
      <c r="C64" s="34" t="s">
        <v>65</v>
      </c>
      <c r="D64" s="34" t="s">
        <v>239</v>
      </c>
      <c r="E64" s="32">
        <v>7.5</v>
      </c>
      <c r="F64" s="34" t="s">
        <v>301</v>
      </c>
      <c r="G64" s="35">
        <v>1.8182184111313722</v>
      </c>
    </row>
    <row r="65" spans="1:7" x14ac:dyDescent="0.2">
      <c r="A65" s="34" t="s">
        <v>52</v>
      </c>
      <c r="B65" s="34" t="s">
        <v>52</v>
      </c>
      <c r="C65" s="34" t="s">
        <v>65</v>
      </c>
      <c r="D65" s="34" t="s">
        <v>240</v>
      </c>
      <c r="E65" s="32">
        <v>7.5</v>
      </c>
      <c r="F65" s="34" t="s">
        <v>301</v>
      </c>
      <c r="G65" s="35">
        <v>1.7425442421209301</v>
      </c>
    </row>
    <row r="66" spans="1:7" x14ac:dyDescent="0.2">
      <c r="A66" s="34" t="s">
        <v>52</v>
      </c>
      <c r="B66" s="34" t="s">
        <v>52</v>
      </c>
      <c r="C66" s="34" t="s">
        <v>65</v>
      </c>
      <c r="D66" s="34" t="s">
        <v>245</v>
      </c>
      <c r="E66" s="32">
        <v>7.5</v>
      </c>
      <c r="F66" s="34" t="s">
        <v>301</v>
      </c>
    </row>
    <row r="67" spans="1:7" x14ac:dyDescent="0.2">
      <c r="A67" s="34" t="s">
        <v>52</v>
      </c>
      <c r="B67" s="34" t="s">
        <v>52</v>
      </c>
      <c r="C67" s="34" t="s">
        <v>223</v>
      </c>
      <c r="D67" s="34" t="s">
        <v>241</v>
      </c>
      <c r="E67" s="32">
        <v>7.5</v>
      </c>
      <c r="F67" s="34" t="s">
        <v>301</v>
      </c>
      <c r="G67" s="35">
        <v>0.4264672782516466</v>
      </c>
    </row>
    <row r="68" spans="1:7" x14ac:dyDescent="0.2">
      <c r="A68" s="34" t="s">
        <v>52</v>
      </c>
      <c r="B68" s="34" t="s">
        <v>52</v>
      </c>
      <c r="C68" s="34" t="s">
        <v>223</v>
      </c>
      <c r="D68" s="34" t="s">
        <v>246</v>
      </c>
      <c r="E68" s="32">
        <v>7.5</v>
      </c>
      <c r="F68" s="34" t="s">
        <v>301</v>
      </c>
      <c r="G68" s="35">
        <v>0.34085767190248806</v>
      </c>
    </row>
    <row r="69" spans="1:7" x14ac:dyDescent="0.2">
      <c r="A69" s="34" t="s">
        <v>52</v>
      </c>
      <c r="B69" s="34" t="s">
        <v>52</v>
      </c>
      <c r="C69" s="34" t="s">
        <v>223</v>
      </c>
      <c r="D69" s="34" t="s">
        <v>242</v>
      </c>
      <c r="E69" s="32">
        <v>7.5</v>
      </c>
      <c r="F69" s="34" t="s">
        <v>301</v>
      </c>
      <c r="G69" s="35">
        <v>0.27528962362689402</v>
      </c>
    </row>
    <row r="70" spans="1:7" x14ac:dyDescent="0.2">
      <c r="A70" s="34" t="s">
        <v>52</v>
      </c>
      <c r="B70" s="34" t="s">
        <v>52</v>
      </c>
      <c r="C70" s="34" t="s">
        <v>223</v>
      </c>
      <c r="D70" s="34" t="s">
        <v>243</v>
      </c>
      <c r="E70" s="32">
        <v>7.5</v>
      </c>
      <c r="F70" s="34" t="s">
        <v>301</v>
      </c>
      <c r="G70" s="35">
        <v>0.77246602994153457</v>
      </c>
    </row>
    <row r="71" spans="1:7" x14ac:dyDescent="0.2">
      <c r="A71" s="34" t="s">
        <v>52</v>
      </c>
      <c r="B71" s="34" t="s">
        <v>52</v>
      </c>
      <c r="C71" s="34" t="s">
        <v>223</v>
      </c>
      <c r="D71" s="34" t="s">
        <v>244</v>
      </c>
      <c r="E71" s="32">
        <v>7.5</v>
      </c>
      <c r="F71" s="34" t="s">
        <v>301</v>
      </c>
      <c r="G71" s="35">
        <v>0.29227427237752757</v>
      </c>
    </row>
    <row r="72" spans="1:7" x14ac:dyDescent="0.2">
      <c r="A72" s="34" t="s">
        <v>52</v>
      </c>
      <c r="B72" s="34" t="s">
        <v>221</v>
      </c>
      <c r="C72" s="34" t="s">
        <v>65</v>
      </c>
      <c r="D72" s="34" t="s">
        <v>225</v>
      </c>
      <c r="E72" s="32">
        <v>7.5</v>
      </c>
      <c r="F72" s="34" t="s">
        <v>301</v>
      </c>
      <c r="G72" s="35">
        <v>1.8517622737120716</v>
      </c>
    </row>
    <row r="73" spans="1:7" x14ac:dyDescent="0.2">
      <c r="A73" s="34" t="s">
        <v>52</v>
      </c>
      <c r="B73" s="34" t="s">
        <v>221</v>
      </c>
      <c r="C73" s="34" t="s">
        <v>223</v>
      </c>
      <c r="D73" s="34" t="s">
        <v>226</v>
      </c>
      <c r="E73" s="32">
        <v>7.5</v>
      </c>
      <c r="F73" s="34" t="s">
        <v>301</v>
      </c>
      <c r="G73" s="35">
        <v>0.93103702511893482</v>
      </c>
    </row>
    <row r="74" spans="1:7" x14ac:dyDescent="0.2">
      <c r="A74" s="34" t="s">
        <v>75</v>
      </c>
      <c r="B74" s="34" t="s">
        <v>75</v>
      </c>
      <c r="C74" s="34" t="s">
        <v>65</v>
      </c>
      <c r="D74" s="34" t="s">
        <v>233</v>
      </c>
      <c r="E74" s="32">
        <v>10.5</v>
      </c>
      <c r="F74" s="34" t="s">
        <v>301</v>
      </c>
      <c r="G74" s="32">
        <v>1.5808986199999999</v>
      </c>
    </row>
    <row r="75" spans="1:7" x14ac:dyDescent="0.2">
      <c r="A75" s="34" t="s">
        <v>75</v>
      </c>
      <c r="B75" s="34" t="s">
        <v>75</v>
      </c>
      <c r="C75" s="34" t="s">
        <v>65</v>
      </c>
      <c r="D75" s="34" t="s">
        <v>227</v>
      </c>
      <c r="E75" s="32">
        <v>10.5</v>
      </c>
      <c r="F75" s="34" t="s">
        <v>301</v>
      </c>
      <c r="G75" s="32">
        <v>1.58747259</v>
      </c>
    </row>
    <row r="76" spans="1:7" x14ac:dyDescent="0.2">
      <c r="A76" s="34" t="s">
        <v>75</v>
      </c>
      <c r="B76" s="34" t="s">
        <v>75</v>
      </c>
      <c r="C76" s="34" t="s">
        <v>65</v>
      </c>
      <c r="D76" s="34" t="s">
        <v>228</v>
      </c>
      <c r="E76" s="32">
        <v>10.5</v>
      </c>
      <c r="F76" s="34" t="s">
        <v>301</v>
      </c>
      <c r="G76" s="32">
        <v>1.6217127200000001</v>
      </c>
    </row>
    <row r="77" spans="1:7" x14ac:dyDescent="0.2">
      <c r="A77" s="34" t="s">
        <v>75</v>
      </c>
      <c r="B77" s="34" t="s">
        <v>75</v>
      </c>
      <c r="C77" s="34" t="s">
        <v>65</v>
      </c>
      <c r="D77" s="34" t="s">
        <v>229</v>
      </c>
      <c r="E77" s="32">
        <v>10.5</v>
      </c>
      <c r="F77" s="34" t="s">
        <v>301</v>
      </c>
      <c r="G77" s="32">
        <v>1.61004993</v>
      </c>
    </row>
    <row r="78" spans="1:7" x14ac:dyDescent="0.2">
      <c r="A78" s="34" t="s">
        <v>75</v>
      </c>
      <c r="B78" s="34" t="s">
        <v>75</v>
      </c>
      <c r="C78" s="34" t="s">
        <v>65</v>
      </c>
      <c r="D78" s="34" t="s">
        <v>234</v>
      </c>
      <c r="E78" s="32">
        <v>10.5</v>
      </c>
      <c r="F78" s="34" t="s">
        <v>301</v>
      </c>
      <c r="G78" s="32">
        <v>1.6015529500000001</v>
      </c>
    </row>
    <row r="79" spans="1:7" x14ac:dyDescent="0.2">
      <c r="A79" s="34" t="s">
        <v>75</v>
      </c>
      <c r="B79" s="34" t="s">
        <v>75</v>
      </c>
      <c r="C79" s="34" t="s">
        <v>223</v>
      </c>
      <c r="D79" s="34" t="s">
        <v>230</v>
      </c>
      <c r="E79" s="32">
        <v>10.5</v>
      </c>
      <c r="F79" s="34" t="s">
        <v>301</v>
      </c>
      <c r="G79" s="32">
        <v>0.64085079</v>
      </c>
    </row>
    <row r="80" spans="1:7" x14ac:dyDescent="0.2">
      <c r="A80" s="34" t="s">
        <v>75</v>
      </c>
      <c r="B80" s="34" t="s">
        <v>75</v>
      </c>
      <c r="C80" s="34" t="s">
        <v>223</v>
      </c>
      <c r="D80" s="34" t="s">
        <v>231</v>
      </c>
      <c r="E80" s="32">
        <v>10.5</v>
      </c>
      <c r="F80" s="34" t="s">
        <v>301</v>
      </c>
      <c r="G80" s="32">
        <v>0.76824135999999998</v>
      </c>
    </row>
    <row r="81" spans="1:7" x14ac:dyDescent="0.2">
      <c r="A81" s="34" t="s">
        <v>75</v>
      </c>
      <c r="B81" s="34" t="s">
        <v>75</v>
      </c>
      <c r="C81" s="34" t="s">
        <v>223</v>
      </c>
      <c r="D81" s="34" t="s">
        <v>235</v>
      </c>
      <c r="E81" s="32">
        <v>10.5</v>
      </c>
      <c r="F81" s="34" t="s">
        <v>301</v>
      </c>
      <c r="G81" s="32">
        <v>0.25738490000000003</v>
      </c>
    </row>
    <row r="82" spans="1:7" x14ac:dyDescent="0.2">
      <c r="A82" s="34" t="s">
        <v>75</v>
      </c>
      <c r="B82" s="34" t="s">
        <v>75</v>
      </c>
      <c r="C82" s="34" t="s">
        <v>223</v>
      </c>
      <c r="D82" s="34" t="s">
        <v>232</v>
      </c>
      <c r="E82" s="32">
        <v>10.5</v>
      </c>
      <c r="F82" s="34" t="s">
        <v>301</v>
      </c>
      <c r="G82" s="32">
        <v>0.50527005999999997</v>
      </c>
    </row>
    <row r="83" spans="1:7" x14ac:dyDescent="0.2">
      <c r="A83" s="34" t="s">
        <v>75</v>
      </c>
      <c r="B83" s="34" t="s">
        <v>75</v>
      </c>
      <c r="C83" s="34" t="s">
        <v>223</v>
      </c>
      <c r="D83" s="34" t="s">
        <v>236</v>
      </c>
      <c r="E83" s="32">
        <v>10.5</v>
      </c>
      <c r="F83" s="34" t="s">
        <v>301</v>
      </c>
      <c r="G83" s="32">
        <v>0.40037854</v>
      </c>
    </row>
    <row r="84" spans="1:7" x14ac:dyDescent="0.2">
      <c r="A84" s="34" t="s">
        <v>75</v>
      </c>
      <c r="B84" s="34" t="s">
        <v>221</v>
      </c>
      <c r="C84" s="34" t="s">
        <v>65</v>
      </c>
      <c r="D84" s="34" t="s">
        <v>222</v>
      </c>
      <c r="E84" s="32">
        <v>10.5</v>
      </c>
      <c r="F84" s="34" t="s">
        <v>301</v>
      </c>
      <c r="G84" s="32">
        <v>1.5290750500000001</v>
      </c>
    </row>
    <row r="85" spans="1:7" x14ac:dyDescent="0.2">
      <c r="A85" s="34" t="s">
        <v>75</v>
      </c>
      <c r="B85" s="34" t="s">
        <v>221</v>
      </c>
      <c r="C85" s="34" t="s">
        <v>223</v>
      </c>
      <c r="D85" s="34" t="s">
        <v>224</v>
      </c>
      <c r="E85" s="32">
        <v>10.5</v>
      </c>
      <c r="F85" s="34" t="s">
        <v>301</v>
      </c>
      <c r="G85" s="32"/>
    </row>
    <row r="86" spans="1:7" x14ac:dyDescent="0.2">
      <c r="A86" s="34" t="s">
        <v>52</v>
      </c>
      <c r="B86" s="34" t="s">
        <v>52</v>
      </c>
      <c r="C86" s="34" t="s">
        <v>65</v>
      </c>
      <c r="D86" s="34" t="s">
        <v>237</v>
      </c>
      <c r="E86" s="32">
        <v>10.5</v>
      </c>
      <c r="F86" s="34" t="s">
        <v>301</v>
      </c>
      <c r="G86" s="35">
        <v>1.6664067804604201</v>
      </c>
    </row>
    <row r="87" spans="1:7" x14ac:dyDescent="0.2">
      <c r="A87" s="34" t="s">
        <v>52</v>
      </c>
      <c r="B87" s="34" t="s">
        <v>52</v>
      </c>
      <c r="C87" s="34" t="s">
        <v>65</v>
      </c>
      <c r="D87" s="34" t="s">
        <v>238</v>
      </c>
      <c r="E87" s="32">
        <v>10.5</v>
      </c>
      <c r="F87" s="34" t="s">
        <v>301</v>
      </c>
      <c r="G87" s="35">
        <v>1.6280237373839939</v>
      </c>
    </row>
    <row r="88" spans="1:7" x14ac:dyDescent="0.2">
      <c r="A88" s="34" t="s">
        <v>52</v>
      </c>
      <c r="B88" s="34" t="s">
        <v>52</v>
      </c>
      <c r="C88" s="34" t="s">
        <v>65</v>
      </c>
      <c r="D88" s="34" t="s">
        <v>239</v>
      </c>
      <c r="E88" s="32">
        <v>10.5</v>
      </c>
      <c r="F88" s="34" t="s">
        <v>301</v>
      </c>
      <c r="G88" s="35">
        <v>1.5872891856048943</v>
      </c>
    </row>
    <row r="89" spans="1:7" x14ac:dyDescent="0.2">
      <c r="A89" s="34" t="s">
        <v>52</v>
      </c>
      <c r="B89" s="34" t="s">
        <v>52</v>
      </c>
      <c r="C89" s="34" t="s">
        <v>65</v>
      </c>
      <c r="D89" s="34" t="s">
        <v>240</v>
      </c>
      <c r="E89" s="32">
        <v>10.5</v>
      </c>
      <c r="F89" s="34" t="s">
        <v>301</v>
      </c>
      <c r="G89" s="35">
        <v>1.6840624333555445</v>
      </c>
    </row>
    <row r="90" spans="1:7" x14ac:dyDescent="0.2">
      <c r="A90" s="34" t="s">
        <v>52</v>
      </c>
      <c r="B90" s="34" t="s">
        <v>52</v>
      </c>
      <c r="C90" s="34" t="s">
        <v>65</v>
      </c>
      <c r="D90" s="34" t="s">
        <v>245</v>
      </c>
      <c r="E90" s="32">
        <v>10.5</v>
      </c>
      <c r="F90" s="34" t="s">
        <v>301</v>
      </c>
      <c r="G90" s="35">
        <v>1.5783263284228155</v>
      </c>
    </row>
    <row r="91" spans="1:7" x14ac:dyDescent="0.2">
      <c r="A91" s="34" t="s">
        <v>52</v>
      </c>
      <c r="B91" s="34" t="s">
        <v>52</v>
      </c>
      <c r="C91" s="34" t="s">
        <v>223</v>
      </c>
      <c r="D91" s="34" t="s">
        <v>241</v>
      </c>
      <c r="E91" s="32">
        <v>10.5</v>
      </c>
      <c r="F91" s="34" t="s">
        <v>301</v>
      </c>
      <c r="G91" s="35">
        <v>0.15306616841477005</v>
      </c>
    </row>
    <row r="92" spans="1:7" x14ac:dyDescent="0.2">
      <c r="A92" s="34" t="s">
        <v>52</v>
      </c>
      <c r="B92" s="34" t="s">
        <v>52</v>
      </c>
      <c r="C92" s="34" t="s">
        <v>223</v>
      </c>
      <c r="D92" s="34" t="s">
        <v>246</v>
      </c>
      <c r="E92" s="32">
        <v>10.5</v>
      </c>
      <c r="F92" s="34" t="s">
        <v>301</v>
      </c>
      <c r="G92" s="35">
        <v>0.75556029248890655</v>
      </c>
    </row>
    <row r="93" spans="1:7" x14ac:dyDescent="0.2">
      <c r="A93" s="34" t="s">
        <v>52</v>
      </c>
      <c r="B93" s="34" t="s">
        <v>52</v>
      </c>
      <c r="C93" s="34" t="s">
        <v>223</v>
      </c>
      <c r="D93" s="34" t="s">
        <v>242</v>
      </c>
      <c r="E93" s="32">
        <v>10.5</v>
      </c>
      <c r="F93" s="34" t="s">
        <v>301</v>
      </c>
      <c r="G93" s="35">
        <v>0.42999218627816571</v>
      </c>
    </row>
    <row r="94" spans="1:7" x14ac:dyDescent="0.2">
      <c r="A94" s="34" t="s">
        <v>52</v>
      </c>
      <c r="B94" s="34" t="s">
        <v>52</v>
      </c>
      <c r="C94" s="34" t="s">
        <v>223</v>
      </c>
      <c r="D94" s="34" t="s">
        <v>243</v>
      </c>
      <c r="E94" s="32">
        <v>10.5</v>
      </c>
      <c r="F94" s="34" t="s">
        <v>301</v>
      </c>
      <c r="G94" s="35">
        <v>0.33385943984928712</v>
      </c>
    </row>
    <row r="95" spans="1:7" x14ac:dyDescent="0.2">
      <c r="A95" s="34" t="s">
        <v>52</v>
      </c>
      <c r="B95" s="34" t="s">
        <v>52</v>
      </c>
      <c r="C95" s="34" t="s">
        <v>223</v>
      </c>
      <c r="D95" s="34" t="s">
        <v>244</v>
      </c>
      <c r="E95" s="32">
        <v>10.5</v>
      </c>
      <c r="F95" s="34" t="s">
        <v>301</v>
      </c>
      <c r="G95" s="35">
        <v>0.36589295422924434</v>
      </c>
    </row>
    <row r="96" spans="1:7" x14ac:dyDescent="0.2">
      <c r="A96" s="34" t="s">
        <v>52</v>
      </c>
      <c r="B96" s="34" t="s">
        <v>221</v>
      </c>
      <c r="C96" s="34" t="s">
        <v>65</v>
      </c>
      <c r="D96" s="34" t="s">
        <v>225</v>
      </c>
      <c r="E96" s="32">
        <v>10.5</v>
      </c>
      <c r="F96" s="34" t="s">
        <v>301</v>
      </c>
      <c r="G96" s="35">
        <v>1.6500236624961999</v>
      </c>
    </row>
    <row r="97" spans="1:7" x14ac:dyDescent="0.2">
      <c r="A97" s="34" t="s">
        <v>52</v>
      </c>
      <c r="B97" s="34" t="s">
        <v>221</v>
      </c>
      <c r="C97" s="34" t="s">
        <v>223</v>
      </c>
      <c r="D97" s="34" t="s">
        <v>226</v>
      </c>
      <c r="E97" s="32">
        <v>10.5</v>
      </c>
      <c r="F97" s="34" t="s">
        <v>301</v>
      </c>
      <c r="G97" s="35">
        <v>0.65509181794972948</v>
      </c>
    </row>
    <row r="98" spans="1:7" x14ac:dyDescent="0.2">
      <c r="A98" s="34" t="s">
        <v>75</v>
      </c>
      <c r="B98" s="34" t="s">
        <v>75</v>
      </c>
      <c r="C98" s="34" t="s">
        <v>65</v>
      </c>
      <c r="D98" s="34" t="s">
        <v>233</v>
      </c>
      <c r="E98" s="32">
        <v>13.5</v>
      </c>
      <c r="F98" s="34" t="s">
        <v>301</v>
      </c>
      <c r="G98" s="32">
        <v>1.76883462</v>
      </c>
    </row>
    <row r="99" spans="1:7" x14ac:dyDescent="0.2">
      <c r="A99" s="34" t="s">
        <v>75</v>
      </c>
      <c r="B99" s="34" t="s">
        <v>75</v>
      </c>
      <c r="C99" s="34" t="s">
        <v>65</v>
      </c>
      <c r="D99" s="34" t="s">
        <v>227</v>
      </c>
      <c r="E99" s="32">
        <v>13.5</v>
      </c>
      <c r="F99" s="34" t="s">
        <v>301</v>
      </c>
      <c r="G99" s="32">
        <v>1.763578504</v>
      </c>
    </row>
    <row r="100" spans="1:7" x14ac:dyDescent="0.2">
      <c r="A100" s="34" t="s">
        <v>75</v>
      </c>
      <c r="B100" s="34" t="s">
        <v>75</v>
      </c>
      <c r="C100" s="34" t="s">
        <v>65</v>
      </c>
      <c r="D100" s="34" t="s">
        <v>228</v>
      </c>
      <c r="E100" s="32">
        <v>13.5</v>
      </c>
      <c r="F100" s="34" t="s">
        <v>301</v>
      </c>
      <c r="G100" s="32">
        <v>1.792969153</v>
      </c>
    </row>
    <row r="101" spans="1:7" x14ac:dyDescent="0.2">
      <c r="A101" s="34" t="s">
        <v>75</v>
      </c>
      <c r="B101" s="34" t="s">
        <v>75</v>
      </c>
      <c r="C101" s="34" t="s">
        <v>65</v>
      </c>
      <c r="D101" s="34" t="s">
        <v>229</v>
      </c>
      <c r="E101" s="32">
        <v>13.5</v>
      </c>
      <c r="F101" s="34" t="s">
        <v>301</v>
      </c>
      <c r="G101" s="32">
        <v>1.72769843</v>
      </c>
    </row>
    <row r="102" spans="1:7" x14ac:dyDescent="0.2">
      <c r="A102" s="34" t="s">
        <v>75</v>
      </c>
      <c r="B102" s="34" t="s">
        <v>75</v>
      </c>
      <c r="C102" s="34" t="s">
        <v>65</v>
      </c>
      <c r="D102" s="34" t="s">
        <v>234</v>
      </c>
      <c r="E102" s="32">
        <v>13.5</v>
      </c>
      <c r="F102" s="34" t="s">
        <v>301</v>
      </c>
      <c r="G102" s="32">
        <v>1.9150015090000001</v>
      </c>
    </row>
    <row r="103" spans="1:7" x14ac:dyDescent="0.2">
      <c r="A103" s="34" t="s">
        <v>75</v>
      </c>
      <c r="B103" s="34" t="s">
        <v>75</v>
      </c>
      <c r="C103" s="34" t="s">
        <v>223</v>
      </c>
      <c r="D103" s="34" t="s">
        <v>230</v>
      </c>
      <c r="E103" s="32">
        <v>13.5</v>
      </c>
      <c r="F103" s="34" t="s">
        <v>301</v>
      </c>
      <c r="G103" s="32">
        <v>0.85935828999999997</v>
      </c>
    </row>
    <row r="104" spans="1:7" x14ac:dyDescent="0.2">
      <c r="A104" s="34" t="s">
        <v>75</v>
      </c>
      <c r="B104" s="34" t="s">
        <v>75</v>
      </c>
      <c r="C104" s="34" t="s">
        <v>223</v>
      </c>
      <c r="D104" s="34" t="s">
        <v>231</v>
      </c>
      <c r="E104" s="32">
        <v>13.5</v>
      </c>
      <c r="F104" s="34" t="s">
        <v>301</v>
      </c>
      <c r="G104" s="32">
        <v>0.75212604100000002</v>
      </c>
    </row>
    <row r="105" spans="1:7" x14ac:dyDescent="0.2">
      <c r="A105" s="34" t="s">
        <v>75</v>
      </c>
      <c r="B105" s="34" t="s">
        <v>75</v>
      </c>
      <c r="C105" s="34" t="s">
        <v>223</v>
      </c>
      <c r="D105" s="34" t="s">
        <v>235</v>
      </c>
      <c r="E105" s="32">
        <v>13.5</v>
      </c>
      <c r="F105" s="34" t="s">
        <v>301</v>
      </c>
      <c r="G105" s="36">
        <v>0.96428769599999997</v>
      </c>
    </row>
    <row r="106" spans="1:7" x14ac:dyDescent="0.2">
      <c r="A106" s="34" t="s">
        <v>75</v>
      </c>
      <c r="B106" s="34" t="s">
        <v>75</v>
      </c>
      <c r="C106" s="34" t="s">
        <v>223</v>
      </c>
      <c r="D106" s="34" t="s">
        <v>232</v>
      </c>
      <c r="E106" s="32">
        <v>13.5</v>
      </c>
      <c r="F106" s="34" t="s">
        <v>301</v>
      </c>
      <c r="G106" s="36">
        <v>0.90983104100000001</v>
      </c>
    </row>
    <row r="107" spans="1:7" x14ac:dyDescent="0.2">
      <c r="A107" s="34" t="s">
        <v>75</v>
      </c>
      <c r="B107" s="34" t="s">
        <v>75</v>
      </c>
      <c r="C107" s="34" t="s">
        <v>223</v>
      </c>
      <c r="D107" s="34" t="s">
        <v>236</v>
      </c>
      <c r="E107" s="32">
        <v>13.5</v>
      </c>
      <c r="F107" s="34" t="s">
        <v>301</v>
      </c>
      <c r="G107" s="32">
        <v>0.67105881300000003</v>
      </c>
    </row>
    <row r="108" spans="1:7" x14ac:dyDescent="0.2">
      <c r="A108" s="34" t="s">
        <v>75</v>
      </c>
      <c r="B108" s="34" t="s">
        <v>221</v>
      </c>
      <c r="C108" s="34" t="s">
        <v>65</v>
      </c>
      <c r="D108" s="34" t="s">
        <v>222</v>
      </c>
      <c r="E108" s="32">
        <v>13.5</v>
      </c>
      <c r="F108" s="34" t="s">
        <v>301</v>
      </c>
      <c r="G108" s="32">
        <v>1.5996139700000001</v>
      </c>
    </row>
    <row r="109" spans="1:7" x14ac:dyDescent="0.2">
      <c r="A109" s="34" t="s">
        <v>75</v>
      </c>
      <c r="B109" s="34" t="s">
        <v>221</v>
      </c>
      <c r="C109" s="34" t="s">
        <v>223</v>
      </c>
      <c r="D109" s="34" t="s">
        <v>224</v>
      </c>
      <c r="E109" s="32">
        <v>13.5</v>
      </c>
      <c r="F109" s="34" t="s">
        <v>301</v>
      </c>
      <c r="G109" s="32">
        <v>0.262392825</v>
      </c>
    </row>
    <row r="110" spans="1:7" x14ac:dyDescent="0.2">
      <c r="A110" s="34" t="s">
        <v>52</v>
      </c>
      <c r="B110" s="34" t="s">
        <v>52</v>
      </c>
      <c r="C110" s="34" t="s">
        <v>65</v>
      </c>
      <c r="D110" s="34" t="s">
        <v>237</v>
      </c>
      <c r="E110" s="32">
        <v>13.5</v>
      </c>
      <c r="F110" s="34" t="s">
        <v>301</v>
      </c>
      <c r="G110" s="35">
        <v>1.755879181989054</v>
      </c>
    </row>
    <row r="111" spans="1:7" x14ac:dyDescent="0.2">
      <c r="A111" s="34" t="s">
        <v>52</v>
      </c>
      <c r="B111" s="34" t="s">
        <v>52</v>
      </c>
      <c r="C111" s="34" t="s">
        <v>65</v>
      </c>
      <c r="D111" s="34" t="s">
        <v>238</v>
      </c>
      <c r="E111" s="32">
        <v>13.5</v>
      </c>
      <c r="F111" s="34" t="s">
        <v>301</v>
      </c>
      <c r="G111" s="35">
        <v>1.8542625805100073</v>
      </c>
    </row>
    <row r="112" spans="1:7" x14ac:dyDescent="0.2">
      <c r="A112" s="34" t="s">
        <v>52</v>
      </c>
      <c r="B112" s="34" t="s">
        <v>52</v>
      </c>
      <c r="C112" s="34" t="s">
        <v>65</v>
      </c>
      <c r="D112" s="34" t="s">
        <v>239</v>
      </c>
      <c r="E112" s="32">
        <v>13.5</v>
      </c>
      <c r="F112" s="34" t="s">
        <v>301</v>
      </c>
      <c r="G112" s="35">
        <v>1.8768668587878936</v>
      </c>
    </row>
    <row r="113" spans="1:7" x14ac:dyDescent="0.2">
      <c r="A113" s="34" t="s">
        <v>52</v>
      </c>
      <c r="B113" s="34" t="s">
        <v>52</v>
      </c>
      <c r="C113" s="34" t="s">
        <v>65</v>
      </c>
      <c r="D113" s="34" t="s">
        <v>240</v>
      </c>
      <c r="E113" s="32">
        <v>13.5</v>
      </c>
      <c r="F113" s="34" t="s">
        <v>301</v>
      </c>
      <c r="G113" s="35">
        <v>1.8248558513017834</v>
      </c>
    </row>
    <row r="114" spans="1:7" x14ac:dyDescent="0.2">
      <c r="A114" s="34" t="s">
        <v>52</v>
      </c>
      <c r="B114" s="34" t="s">
        <v>52</v>
      </c>
      <c r="C114" s="34" t="s">
        <v>65</v>
      </c>
      <c r="D114" s="34" t="s">
        <v>245</v>
      </c>
      <c r="E114" s="32">
        <v>13.5</v>
      </c>
      <c r="F114" s="34" t="s">
        <v>301</v>
      </c>
      <c r="G114" s="35">
        <v>1.7986889660054812</v>
      </c>
    </row>
    <row r="115" spans="1:7" x14ac:dyDescent="0.2">
      <c r="A115" s="34" t="s">
        <v>52</v>
      </c>
      <c r="B115" s="34" t="s">
        <v>52</v>
      </c>
      <c r="C115" s="34" t="s">
        <v>223</v>
      </c>
      <c r="D115" s="34" t="s">
        <v>241</v>
      </c>
      <c r="E115" s="32">
        <v>13.5</v>
      </c>
      <c r="F115" s="34" t="s">
        <v>301</v>
      </c>
      <c r="G115" s="35">
        <v>1.1736480304686632</v>
      </c>
    </row>
    <row r="116" spans="1:7" x14ac:dyDescent="0.2">
      <c r="A116" s="34" t="s">
        <v>52</v>
      </c>
      <c r="B116" s="34" t="s">
        <v>52</v>
      </c>
      <c r="C116" s="34" t="s">
        <v>223</v>
      </c>
      <c r="D116" s="34" t="s">
        <v>246</v>
      </c>
      <c r="E116" s="32">
        <v>13.5</v>
      </c>
      <c r="F116" s="34" t="s">
        <v>301</v>
      </c>
      <c r="G116" s="35">
        <v>1.2026175155313423</v>
      </c>
    </row>
    <row r="117" spans="1:7" x14ac:dyDescent="0.2">
      <c r="A117" s="34" t="s">
        <v>52</v>
      </c>
      <c r="B117" s="34" t="s">
        <v>52</v>
      </c>
      <c r="C117" s="34" t="s">
        <v>223</v>
      </c>
      <c r="D117" s="34" t="s">
        <v>242</v>
      </c>
      <c r="E117" s="32">
        <v>13.5</v>
      </c>
      <c r="F117" s="34" t="s">
        <v>301</v>
      </c>
      <c r="G117" s="35">
        <v>1.3412290412038892</v>
      </c>
    </row>
    <row r="118" spans="1:7" x14ac:dyDescent="0.2">
      <c r="A118" s="34" t="s">
        <v>52</v>
      </c>
      <c r="B118" s="34" t="s">
        <v>52</v>
      </c>
      <c r="C118" s="34" t="s">
        <v>223</v>
      </c>
      <c r="D118" s="34" t="s">
        <v>243</v>
      </c>
      <c r="E118" s="32">
        <v>13.5</v>
      </c>
      <c r="F118" s="34" t="s">
        <v>301</v>
      </c>
      <c r="G118" s="35">
        <v>1.5991893219951556</v>
      </c>
    </row>
    <row r="119" spans="1:7" x14ac:dyDescent="0.2">
      <c r="A119" s="34" t="s">
        <v>52</v>
      </c>
      <c r="B119" s="34" t="s">
        <v>52</v>
      </c>
      <c r="C119" s="34" t="s">
        <v>223</v>
      </c>
      <c r="D119" s="34" t="s">
        <v>244</v>
      </c>
      <c r="E119" s="32">
        <v>13.5</v>
      </c>
      <c r="F119" s="34" t="s">
        <v>301</v>
      </c>
      <c r="G119" s="35">
        <v>1.3571197193195281</v>
      </c>
    </row>
    <row r="120" spans="1:7" x14ac:dyDescent="0.2">
      <c r="A120" s="34" t="s">
        <v>52</v>
      </c>
      <c r="B120" s="34" t="s">
        <v>221</v>
      </c>
      <c r="C120" s="34" t="s">
        <v>65</v>
      </c>
      <c r="D120" s="34" t="s">
        <v>225</v>
      </c>
      <c r="E120" s="32">
        <v>13.5</v>
      </c>
      <c r="F120" s="34" t="s">
        <v>301</v>
      </c>
      <c r="G120" s="35">
        <v>1.6725566364600499</v>
      </c>
    </row>
    <row r="121" spans="1:7" x14ac:dyDescent="0.2">
      <c r="A121" s="34" t="s">
        <v>52</v>
      </c>
      <c r="B121" s="34" t="s">
        <v>221</v>
      </c>
      <c r="C121" s="34" t="s">
        <v>223</v>
      </c>
      <c r="D121" s="34" t="s">
        <v>226</v>
      </c>
      <c r="E121" s="32">
        <v>13.5</v>
      </c>
      <c r="F121" s="34" t="s">
        <v>301</v>
      </c>
      <c r="G121" s="35">
        <v>1.3377819883853024</v>
      </c>
    </row>
    <row r="122" spans="1:7" x14ac:dyDescent="0.2">
      <c r="A122" s="34" t="s">
        <v>75</v>
      </c>
      <c r="B122" s="34" t="s">
        <v>75</v>
      </c>
      <c r="C122" s="34" t="s">
        <v>65</v>
      </c>
      <c r="D122" s="34" t="s">
        <v>233</v>
      </c>
      <c r="E122" s="32">
        <v>16.5</v>
      </c>
      <c r="F122" s="34" t="s">
        <v>301</v>
      </c>
      <c r="G122" s="32">
        <v>1.91032409</v>
      </c>
    </row>
    <row r="123" spans="1:7" x14ac:dyDescent="0.2">
      <c r="A123" s="34" t="s">
        <v>75</v>
      </c>
      <c r="B123" s="34" t="s">
        <v>75</v>
      </c>
      <c r="C123" s="34" t="s">
        <v>65</v>
      </c>
      <c r="D123" s="34" t="s">
        <v>227</v>
      </c>
      <c r="E123" s="32">
        <v>16.5</v>
      </c>
      <c r="F123" s="34" t="s">
        <v>301</v>
      </c>
      <c r="G123" s="32">
        <v>1.8989072600000001</v>
      </c>
    </row>
    <row r="124" spans="1:7" x14ac:dyDescent="0.2">
      <c r="A124" s="34" t="s">
        <v>75</v>
      </c>
      <c r="B124" s="34" t="s">
        <v>75</v>
      </c>
      <c r="C124" s="34" t="s">
        <v>65</v>
      </c>
      <c r="D124" s="34" t="s">
        <v>228</v>
      </c>
      <c r="E124" s="32">
        <v>16.5</v>
      </c>
      <c r="F124" s="34" t="s">
        <v>301</v>
      </c>
      <c r="G124" s="32">
        <v>1.93698948</v>
      </c>
    </row>
    <row r="125" spans="1:7" x14ac:dyDescent="0.2">
      <c r="A125" s="34" t="s">
        <v>75</v>
      </c>
      <c r="B125" s="34" t="s">
        <v>75</v>
      </c>
      <c r="C125" s="34" t="s">
        <v>65</v>
      </c>
      <c r="D125" s="34" t="s">
        <v>229</v>
      </c>
      <c r="E125" s="32">
        <v>16.5</v>
      </c>
      <c r="F125" s="34" t="s">
        <v>301</v>
      </c>
      <c r="G125" s="32">
        <v>2.02034622</v>
      </c>
    </row>
    <row r="126" spans="1:7" x14ac:dyDescent="0.2">
      <c r="A126" s="34" t="s">
        <v>75</v>
      </c>
      <c r="B126" s="34" t="s">
        <v>75</v>
      </c>
      <c r="C126" s="34" t="s">
        <v>65</v>
      </c>
      <c r="D126" s="34" t="s">
        <v>234</v>
      </c>
      <c r="E126" s="32">
        <v>16.5</v>
      </c>
      <c r="F126" s="34" t="s">
        <v>301</v>
      </c>
      <c r="G126" s="32">
        <v>1.98292538</v>
      </c>
    </row>
    <row r="127" spans="1:7" x14ac:dyDescent="0.2">
      <c r="A127" s="34" t="s">
        <v>75</v>
      </c>
      <c r="B127" s="34" t="s">
        <v>75</v>
      </c>
      <c r="C127" s="34" t="s">
        <v>223</v>
      </c>
      <c r="D127" s="34" t="s">
        <v>230</v>
      </c>
      <c r="E127" s="32">
        <v>16.5</v>
      </c>
      <c r="F127" s="34" t="s">
        <v>301</v>
      </c>
      <c r="G127" s="32">
        <v>0.35914467999999999</v>
      </c>
    </row>
    <row r="128" spans="1:7" x14ac:dyDescent="0.2">
      <c r="A128" s="34" t="s">
        <v>75</v>
      </c>
      <c r="B128" s="34" t="s">
        <v>75</v>
      </c>
      <c r="C128" s="34" t="s">
        <v>223</v>
      </c>
      <c r="D128" s="34" t="s">
        <v>231</v>
      </c>
      <c r="E128" s="32">
        <v>16.5</v>
      </c>
      <c r="F128" s="34" t="s">
        <v>301</v>
      </c>
      <c r="G128" s="32">
        <v>-0.43611090000000002</v>
      </c>
    </row>
    <row r="129" spans="1:7" x14ac:dyDescent="0.2">
      <c r="A129" s="34" t="s">
        <v>75</v>
      </c>
      <c r="B129" s="34" t="s">
        <v>75</v>
      </c>
      <c r="C129" s="34" t="s">
        <v>223</v>
      </c>
      <c r="D129" s="34" t="s">
        <v>235</v>
      </c>
      <c r="E129" s="32">
        <v>16.5</v>
      </c>
      <c r="F129" s="34" t="s">
        <v>301</v>
      </c>
      <c r="G129" s="32">
        <v>9.9598350000000002E-2</v>
      </c>
    </row>
    <row r="130" spans="1:7" x14ac:dyDescent="0.2">
      <c r="A130" s="34" t="s">
        <v>75</v>
      </c>
      <c r="B130" s="34" t="s">
        <v>75</v>
      </c>
      <c r="C130" s="34" t="s">
        <v>223</v>
      </c>
      <c r="D130" s="34" t="s">
        <v>232</v>
      </c>
      <c r="E130" s="32">
        <v>16.5</v>
      </c>
      <c r="F130" s="34" t="s">
        <v>301</v>
      </c>
      <c r="G130" s="32">
        <v>0.55206851000000001</v>
      </c>
    </row>
    <row r="131" spans="1:7" x14ac:dyDescent="0.2">
      <c r="A131" s="34" t="s">
        <v>75</v>
      </c>
      <c r="B131" s="34" t="s">
        <v>75</v>
      </c>
      <c r="C131" s="34" t="s">
        <v>223</v>
      </c>
      <c r="D131" s="34" t="s">
        <v>236</v>
      </c>
      <c r="E131" s="32">
        <v>16.5</v>
      </c>
      <c r="F131" s="34" t="s">
        <v>301</v>
      </c>
      <c r="G131" s="32">
        <v>-0.23104910000000001</v>
      </c>
    </row>
    <row r="132" spans="1:7" x14ac:dyDescent="0.2">
      <c r="A132" s="34" t="s">
        <v>75</v>
      </c>
      <c r="B132" s="34" t="s">
        <v>221</v>
      </c>
      <c r="C132" s="34" t="s">
        <v>65</v>
      </c>
      <c r="D132" s="34" t="s">
        <v>222</v>
      </c>
      <c r="E132" s="32">
        <v>16.5</v>
      </c>
      <c r="F132" s="34" t="s">
        <v>301</v>
      </c>
      <c r="G132" s="32">
        <v>1.7303646399999999</v>
      </c>
    </row>
    <row r="133" spans="1:7" x14ac:dyDescent="0.2">
      <c r="A133" s="34" t="s">
        <v>75</v>
      </c>
      <c r="B133" s="34" t="s">
        <v>221</v>
      </c>
      <c r="C133" s="34" t="s">
        <v>223</v>
      </c>
      <c r="D133" s="34" t="s">
        <v>224</v>
      </c>
      <c r="E133" s="32">
        <v>16.5</v>
      </c>
      <c r="F133" s="34" t="s">
        <v>301</v>
      </c>
      <c r="G133" s="32">
        <v>6.4561129999999994E-2</v>
      </c>
    </row>
    <row r="134" spans="1:7" x14ac:dyDescent="0.2">
      <c r="A134" s="34" t="s">
        <v>52</v>
      </c>
      <c r="B134" s="34" t="s">
        <v>52</v>
      </c>
      <c r="C134" s="34" t="s">
        <v>65</v>
      </c>
      <c r="D134" s="34" t="s">
        <v>237</v>
      </c>
      <c r="E134" s="32">
        <v>16.5</v>
      </c>
      <c r="F134" s="34" t="s">
        <v>301</v>
      </c>
      <c r="G134" s="35">
        <v>1.8273663874006238</v>
      </c>
    </row>
    <row r="135" spans="1:7" x14ac:dyDescent="0.2">
      <c r="A135" s="34" t="s">
        <v>52</v>
      </c>
      <c r="B135" s="34" t="s">
        <v>52</v>
      </c>
      <c r="C135" s="34" t="s">
        <v>65</v>
      </c>
      <c r="D135" s="34" t="s">
        <v>238</v>
      </c>
      <c r="E135" s="32">
        <v>16.5</v>
      </c>
      <c r="F135" s="34" t="s">
        <v>301</v>
      </c>
      <c r="G135" s="35">
        <v>1.8276967406602782</v>
      </c>
    </row>
    <row r="136" spans="1:7" x14ac:dyDescent="0.2">
      <c r="A136" s="34" t="s">
        <v>52</v>
      </c>
      <c r="B136" s="34" t="s">
        <v>52</v>
      </c>
      <c r="C136" s="34" t="s">
        <v>65</v>
      </c>
      <c r="D136" s="34" t="s">
        <v>239</v>
      </c>
      <c r="E136" s="32">
        <v>16.5</v>
      </c>
      <c r="F136" s="34" t="s">
        <v>301</v>
      </c>
      <c r="G136" s="35">
        <v>1.9090604647988265</v>
      </c>
    </row>
    <row r="137" spans="1:7" x14ac:dyDescent="0.2">
      <c r="A137" s="34" t="s">
        <v>52</v>
      </c>
      <c r="B137" s="34" t="s">
        <v>52</v>
      </c>
      <c r="C137" s="34" t="s">
        <v>65</v>
      </c>
      <c r="D137" s="34" t="s">
        <v>240</v>
      </c>
      <c r="E137" s="32">
        <v>16.5</v>
      </c>
      <c r="F137" s="34" t="s">
        <v>301</v>
      </c>
      <c r="G137" s="35">
        <v>1.9120223720372078</v>
      </c>
    </row>
    <row r="138" spans="1:7" x14ac:dyDescent="0.2">
      <c r="A138" s="34" t="s">
        <v>52</v>
      </c>
      <c r="B138" s="34" t="s">
        <v>52</v>
      </c>
      <c r="C138" s="34" t="s">
        <v>65</v>
      </c>
      <c r="D138" s="34" t="s">
        <v>245</v>
      </c>
      <c r="E138" s="32">
        <v>16.5</v>
      </c>
      <c r="F138" s="34" t="s">
        <v>301</v>
      </c>
      <c r="G138" s="35">
        <v>1.9264921458823381</v>
      </c>
    </row>
    <row r="139" spans="1:7" x14ac:dyDescent="0.2">
      <c r="A139" s="34" t="s">
        <v>52</v>
      </c>
      <c r="B139" s="34" t="s">
        <v>52</v>
      </c>
      <c r="C139" s="34" t="s">
        <v>223</v>
      </c>
      <c r="D139" s="34" t="s">
        <v>241</v>
      </c>
      <c r="E139" s="32">
        <v>16.5</v>
      </c>
      <c r="F139" s="34" t="s">
        <v>301</v>
      </c>
      <c r="G139" s="35">
        <v>1.1662671243035903</v>
      </c>
    </row>
    <row r="140" spans="1:7" x14ac:dyDescent="0.2">
      <c r="A140" s="34" t="s">
        <v>52</v>
      </c>
      <c r="B140" s="34" t="s">
        <v>52</v>
      </c>
      <c r="C140" s="34" t="s">
        <v>223</v>
      </c>
      <c r="D140" s="34" t="s">
        <v>246</v>
      </c>
      <c r="E140" s="32">
        <v>16.5</v>
      </c>
      <c r="F140" s="34" t="s">
        <v>301</v>
      </c>
      <c r="G140" s="35">
        <v>1.1326326183650828</v>
      </c>
    </row>
    <row r="141" spans="1:7" x14ac:dyDescent="0.2">
      <c r="A141" s="34" t="s">
        <v>52</v>
      </c>
      <c r="B141" s="34" t="s">
        <v>52</v>
      </c>
      <c r="C141" s="34" t="s">
        <v>223</v>
      </c>
      <c r="D141" s="34" t="s">
        <v>242</v>
      </c>
      <c r="E141" s="32">
        <v>16.5</v>
      </c>
      <c r="F141" s="34" t="s">
        <v>301</v>
      </c>
      <c r="G141" s="35">
        <v>1.1567550848578221</v>
      </c>
    </row>
    <row r="142" spans="1:7" x14ac:dyDescent="0.2">
      <c r="A142" s="34" t="s">
        <v>52</v>
      </c>
      <c r="B142" s="34" t="s">
        <v>52</v>
      </c>
      <c r="C142" s="34" t="s">
        <v>223</v>
      </c>
      <c r="D142" s="34" t="s">
        <v>243</v>
      </c>
      <c r="E142" s="32">
        <v>16.5</v>
      </c>
      <c r="F142" s="34" t="s">
        <v>301</v>
      </c>
      <c r="G142" s="35">
        <v>1.438686672883204</v>
      </c>
    </row>
    <row r="143" spans="1:7" x14ac:dyDescent="0.2">
      <c r="A143" s="34" t="s">
        <v>52</v>
      </c>
      <c r="B143" s="34" t="s">
        <v>52</v>
      </c>
      <c r="C143" s="34" t="s">
        <v>223</v>
      </c>
      <c r="D143" s="34" t="s">
        <v>244</v>
      </c>
      <c r="E143" s="32">
        <v>16.5</v>
      </c>
      <c r="F143" s="34" t="s">
        <v>301</v>
      </c>
      <c r="G143" s="35">
        <v>1.1907174410354919</v>
      </c>
    </row>
    <row r="144" spans="1:7" x14ac:dyDescent="0.2">
      <c r="A144" s="34" t="s">
        <v>52</v>
      </c>
      <c r="B144" s="34" t="s">
        <v>221</v>
      </c>
      <c r="C144" s="34" t="s">
        <v>65</v>
      </c>
      <c r="D144" s="34" t="s">
        <v>225</v>
      </c>
      <c r="E144" s="32">
        <v>16.5</v>
      </c>
      <c r="F144" s="34" t="s">
        <v>301</v>
      </c>
      <c r="G144" s="35">
        <v>1.8640177840027485</v>
      </c>
    </row>
    <row r="145" spans="1:7" x14ac:dyDescent="0.2">
      <c r="A145" s="34" t="s">
        <v>52</v>
      </c>
      <c r="B145" s="34" t="s">
        <v>221</v>
      </c>
      <c r="C145" s="34" t="s">
        <v>223</v>
      </c>
      <c r="D145" s="34" t="s">
        <v>226</v>
      </c>
      <c r="E145" s="32">
        <v>16.5</v>
      </c>
      <c r="F145" s="34" t="s">
        <v>301</v>
      </c>
      <c r="G145" s="35">
        <v>1.5620589736946633</v>
      </c>
    </row>
    <row r="146" spans="1:7" x14ac:dyDescent="0.2">
      <c r="A146" s="34" t="s">
        <v>75</v>
      </c>
      <c r="B146" s="34" t="s">
        <v>75</v>
      </c>
      <c r="C146" s="34" t="s">
        <v>65</v>
      </c>
      <c r="D146" s="34" t="s">
        <v>233</v>
      </c>
      <c r="E146" s="32">
        <v>19.5</v>
      </c>
      <c r="F146" s="34" t="s">
        <v>301</v>
      </c>
      <c r="G146" s="32">
        <v>1.70922972</v>
      </c>
    </row>
    <row r="147" spans="1:7" x14ac:dyDescent="0.2">
      <c r="A147" s="34" t="s">
        <v>75</v>
      </c>
      <c r="B147" s="34" t="s">
        <v>75</v>
      </c>
      <c r="C147" s="34" t="s">
        <v>65</v>
      </c>
      <c r="D147" s="34" t="s">
        <v>227</v>
      </c>
      <c r="E147" s="32">
        <v>19.5</v>
      </c>
      <c r="F147" s="34" t="s">
        <v>301</v>
      </c>
      <c r="G147" s="32">
        <v>1.72851081</v>
      </c>
    </row>
    <row r="148" spans="1:7" x14ac:dyDescent="0.2">
      <c r="A148" s="34" t="s">
        <v>75</v>
      </c>
      <c r="B148" s="34" t="s">
        <v>75</v>
      </c>
      <c r="C148" s="34" t="s">
        <v>65</v>
      </c>
      <c r="D148" s="34" t="s">
        <v>228</v>
      </c>
      <c r="E148" s="32">
        <v>19.5</v>
      </c>
      <c r="F148" s="34" t="s">
        <v>301</v>
      </c>
      <c r="G148" s="32">
        <v>1.79812938</v>
      </c>
    </row>
    <row r="149" spans="1:7" x14ac:dyDescent="0.2">
      <c r="A149" s="34" t="s">
        <v>75</v>
      </c>
      <c r="B149" s="34" t="s">
        <v>75</v>
      </c>
      <c r="C149" s="34" t="s">
        <v>65</v>
      </c>
      <c r="D149" s="34" t="s">
        <v>229</v>
      </c>
      <c r="E149" s="32">
        <v>19.5</v>
      </c>
      <c r="F149" s="34" t="s">
        <v>301</v>
      </c>
      <c r="G149" s="32">
        <v>1.73569851</v>
      </c>
    </row>
    <row r="150" spans="1:7" x14ac:dyDescent="0.2">
      <c r="A150" s="34" t="s">
        <v>75</v>
      </c>
      <c r="B150" s="34" t="s">
        <v>75</v>
      </c>
      <c r="C150" s="34" t="s">
        <v>65</v>
      </c>
      <c r="D150" s="34" t="s">
        <v>234</v>
      </c>
      <c r="E150" s="32">
        <v>19.5</v>
      </c>
      <c r="F150" s="34" t="s">
        <v>301</v>
      </c>
      <c r="G150" s="32">
        <v>1.6621584</v>
      </c>
    </row>
    <row r="151" spans="1:7" x14ac:dyDescent="0.2">
      <c r="A151" s="34" t="s">
        <v>75</v>
      </c>
      <c r="B151" s="34" t="s">
        <v>75</v>
      </c>
      <c r="C151" s="34" t="s">
        <v>223</v>
      </c>
      <c r="D151" s="34" t="s">
        <v>230</v>
      </c>
      <c r="E151" s="32">
        <v>19.5</v>
      </c>
      <c r="F151" s="34" t="s">
        <v>301</v>
      </c>
      <c r="G151" s="32">
        <v>1.08711881</v>
      </c>
    </row>
    <row r="152" spans="1:7" x14ac:dyDescent="0.2">
      <c r="A152" s="34" t="s">
        <v>75</v>
      </c>
      <c r="B152" s="34" t="s">
        <v>75</v>
      </c>
      <c r="C152" s="34" t="s">
        <v>223</v>
      </c>
      <c r="D152" s="34" t="s">
        <v>231</v>
      </c>
      <c r="E152" s="32">
        <v>19.5</v>
      </c>
      <c r="F152" s="34" t="s">
        <v>301</v>
      </c>
      <c r="G152" s="32">
        <v>0.96284594999999995</v>
      </c>
    </row>
    <row r="153" spans="1:7" x14ac:dyDescent="0.2">
      <c r="A153" s="34" t="s">
        <v>75</v>
      </c>
      <c r="B153" s="34" t="s">
        <v>75</v>
      </c>
      <c r="C153" s="34" t="s">
        <v>223</v>
      </c>
      <c r="D153" s="34" t="s">
        <v>235</v>
      </c>
      <c r="E153" s="32">
        <v>19.5</v>
      </c>
      <c r="F153" s="34" t="s">
        <v>301</v>
      </c>
      <c r="G153" s="32">
        <v>0.83263339999999997</v>
      </c>
    </row>
    <row r="154" spans="1:7" x14ac:dyDescent="0.2">
      <c r="A154" s="34" t="s">
        <v>75</v>
      </c>
      <c r="B154" s="34" t="s">
        <v>75</v>
      </c>
      <c r="C154" s="34" t="s">
        <v>223</v>
      </c>
      <c r="D154" s="34" t="s">
        <v>232</v>
      </c>
      <c r="E154" s="32">
        <v>19.5</v>
      </c>
      <c r="F154" s="34" t="s">
        <v>301</v>
      </c>
      <c r="G154" s="32">
        <v>0.95702781000000003</v>
      </c>
    </row>
    <row r="155" spans="1:7" x14ac:dyDescent="0.2">
      <c r="A155" s="34" t="s">
        <v>75</v>
      </c>
      <c r="B155" s="34" t="s">
        <v>75</v>
      </c>
      <c r="C155" s="34" t="s">
        <v>223</v>
      </c>
      <c r="D155" s="34" t="s">
        <v>236</v>
      </c>
      <c r="E155" s="32">
        <v>19.5</v>
      </c>
      <c r="F155" s="34" t="s">
        <v>301</v>
      </c>
      <c r="G155" s="32">
        <v>0.76456424000000001</v>
      </c>
    </row>
    <row r="156" spans="1:7" x14ac:dyDescent="0.2">
      <c r="A156" s="34" t="s">
        <v>75</v>
      </c>
      <c r="B156" s="34" t="s">
        <v>221</v>
      </c>
      <c r="C156" s="34" t="s">
        <v>65</v>
      </c>
      <c r="D156" s="34" t="s">
        <v>222</v>
      </c>
      <c r="E156" s="32">
        <v>19.5</v>
      </c>
      <c r="F156" s="34" t="s">
        <v>301</v>
      </c>
      <c r="G156" s="32">
        <v>1.70918656</v>
      </c>
    </row>
    <row r="157" spans="1:7" x14ac:dyDescent="0.2">
      <c r="A157" s="34" t="s">
        <v>75</v>
      </c>
      <c r="B157" s="34" t="s">
        <v>221</v>
      </c>
      <c r="C157" s="34" t="s">
        <v>223</v>
      </c>
      <c r="D157" s="34" t="s">
        <v>224</v>
      </c>
      <c r="E157" s="32">
        <v>19.5</v>
      </c>
      <c r="F157" s="34" t="s">
        <v>301</v>
      </c>
      <c r="G157" s="32">
        <v>5.377622E-2</v>
      </c>
    </row>
    <row r="158" spans="1:7" x14ac:dyDescent="0.2">
      <c r="A158" s="34" t="s">
        <v>52</v>
      </c>
      <c r="B158" s="34" t="s">
        <v>52</v>
      </c>
      <c r="C158" s="34" t="s">
        <v>65</v>
      </c>
      <c r="D158" s="34" t="s">
        <v>237</v>
      </c>
      <c r="E158" s="32">
        <v>19.5</v>
      </c>
      <c r="F158" s="34" t="s">
        <v>301</v>
      </c>
      <c r="G158" s="35">
        <v>1.6925791996156219</v>
      </c>
    </row>
    <row r="159" spans="1:7" x14ac:dyDescent="0.2">
      <c r="A159" s="34" t="s">
        <v>52</v>
      </c>
      <c r="B159" s="34" t="s">
        <v>52</v>
      </c>
      <c r="C159" s="34" t="s">
        <v>65</v>
      </c>
      <c r="D159" s="34" t="s">
        <v>238</v>
      </c>
      <c r="E159" s="32">
        <v>19.5</v>
      </c>
      <c r="F159" s="34" t="s">
        <v>301</v>
      </c>
      <c r="G159" s="35">
        <v>1.681529519379511</v>
      </c>
    </row>
    <row r="160" spans="1:7" x14ac:dyDescent="0.2">
      <c r="A160" s="34" t="s">
        <v>52</v>
      </c>
      <c r="B160" s="34" t="s">
        <v>52</v>
      </c>
      <c r="C160" s="34" t="s">
        <v>65</v>
      </c>
      <c r="D160" s="34" t="s">
        <v>239</v>
      </c>
      <c r="E160" s="32">
        <v>19.5</v>
      </c>
      <c r="F160" s="34" t="s">
        <v>301</v>
      </c>
      <c r="G160" s="35">
        <v>1.8335926417193786</v>
      </c>
    </row>
    <row r="161" spans="1:7" x14ac:dyDescent="0.2">
      <c r="A161" s="34" t="s">
        <v>52</v>
      </c>
      <c r="B161" s="34" t="s">
        <v>52</v>
      </c>
      <c r="C161" s="34" t="s">
        <v>65</v>
      </c>
      <c r="D161" s="34" t="s">
        <v>240</v>
      </c>
      <c r="E161" s="32">
        <v>19.5</v>
      </c>
      <c r="F161" s="34" t="s">
        <v>301</v>
      </c>
      <c r="G161" s="35">
        <v>1.7886689077576963</v>
      </c>
    </row>
    <row r="162" spans="1:7" x14ac:dyDescent="0.2">
      <c r="A162" s="34" t="s">
        <v>52</v>
      </c>
      <c r="B162" s="34" t="s">
        <v>52</v>
      </c>
      <c r="C162" s="34" t="s">
        <v>65</v>
      </c>
      <c r="D162" s="34" t="s">
        <v>245</v>
      </c>
      <c r="E162" s="32">
        <v>19.5</v>
      </c>
      <c r="F162" s="34" t="s">
        <v>301</v>
      </c>
      <c r="G162" s="35">
        <v>1.8246229988376879</v>
      </c>
    </row>
    <row r="163" spans="1:7" x14ac:dyDescent="0.2">
      <c r="A163" s="34" t="s">
        <v>52</v>
      </c>
      <c r="B163" s="34" t="s">
        <v>52</v>
      </c>
      <c r="C163" s="34" t="s">
        <v>223</v>
      </c>
      <c r="D163" s="34" t="s">
        <v>241</v>
      </c>
      <c r="E163" s="32">
        <v>19.5</v>
      </c>
      <c r="F163" s="34" t="s">
        <v>301</v>
      </c>
      <c r="G163" s="35">
        <v>1.0369616843725391</v>
      </c>
    </row>
    <row r="164" spans="1:7" x14ac:dyDescent="0.2">
      <c r="A164" s="34" t="s">
        <v>52</v>
      </c>
      <c r="B164" s="34" t="s">
        <v>52</v>
      </c>
      <c r="C164" s="34" t="s">
        <v>223</v>
      </c>
      <c r="D164" s="34" t="s">
        <v>246</v>
      </c>
      <c r="E164" s="32">
        <v>19.5</v>
      </c>
      <c r="F164" s="34" t="s">
        <v>301</v>
      </c>
      <c r="G164" s="35">
        <v>0.91729413249400871</v>
      </c>
    </row>
    <row r="165" spans="1:7" x14ac:dyDescent="0.2">
      <c r="A165" s="34" t="s">
        <v>52</v>
      </c>
      <c r="B165" s="34" t="s">
        <v>52</v>
      </c>
      <c r="C165" s="34" t="s">
        <v>223</v>
      </c>
      <c r="D165" s="34" t="s">
        <v>242</v>
      </c>
      <c r="E165" s="32">
        <v>19.5</v>
      </c>
      <c r="F165" s="34" t="s">
        <v>301</v>
      </c>
      <c r="G165" s="35">
        <v>0.68549671791197342</v>
      </c>
    </row>
    <row r="166" spans="1:7" x14ac:dyDescent="0.2">
      <c r="A166" s="34" t="s">
        <v>52</v>
      </c>
      <c r="B166" s="34" t="s">
        <v>52</v>
      </c>
      <c r="C166" s="34" t="s">
        <v>223</v>
      </c>
      <c r="D166" s="34" t="s">
        <v>243</v>
      </c>
      <c r="E166" s="32">
        <v>19.5</v>
      </c>
      <c r="F166" s="34" t="s">
        <v>301</v>
      </c>
      <c r="G166" s="35">
        <v>1.2788740033292307</v>
      </c>
    </row>
    <row r="167" spans="1:7" x14ac:dyDescent="0.2">
      <c r="A167" s="34" t="s">
        <v>52</v>
      </c>
      <c r="B167" s="34" t="s">
        <v>52</v>
      </c>
      <c r="C167" s="34" t="s">
        <v>223</v>
      </c>
      <c r="D167" s="34" t="s">
        <v>244</v>
      </c>
      <c r="E167" s="32">
        <v>19.5</v>
      </c>
      <c r="F167" s="34" t="s">
        <v>301</v>
      </c>
      <c r="G167" s="35">
        <v>0.95033030397410245</v>
      </c>
    </row>
    <row r="168" spans="1:7" x14ac:dyDescent="0.2">
      <c r="A168" s="34" t="s">
        <v>52</v>
      </c>
      <c r="B168" s="34" t="s">
        <v>221</v>
      </c>
      <c r="C168" s="34" t="s">
        <v>65</v>
      </c>
      <c r="D168" s="34" t="s">
        <v>225</v>
      </c>
      <c r="E168" s="32">
        <v>19.5</v>
      </c>
      <c r="F168" s="34" t="s">
        <v>301</v>
      </c>
      <c r="G168" s="35">
        <v>2.1210259871643129</v>
      </c>
    </row>
    <row r="169" spans="1:7" x14ac:dyDescent="0.2">
      <c r="A169" s="34" t="s">
        <v>52</v>
      </c>
      <c r="B169" s="34" t="s">
        <v>221</v>
      </c>
      <c r="C169" s="34" t="s">
        <v>223</v>
      </c>
      <c r="D169" s="34" t="s">
        <v>226</v>
      </c>
      <c r="E169" s="32">
        <v>19.5</v>
      </c>
      <c r="F169" s="34" t="s">
        <v>301</v>
      </c>
      <c r="G169" s="35">
        <v>1.3021316681889314</v>
      </c>
    </row>
    <row r="170" spans="1:7" x14ac:dyDescent="0.2">
      <c r="A170" s="34" t="s">
        <v>75</v>
      </c>
      <c r="B170" s="34" t="s">
        <v>75</v>
      </c>
      <c r="C170" s="34" t="s">
        <v>65</v>
      </c>
      <c r="D170" s="34" t="s">
        <v>233</v>
      </c>
      <c r="E170" s="32">
        <v>22.5</v>
      </c>
      <c r="F170" s="34" t="s">
        <v>301</v>
      </c>
      <c r="G170" s="32">
        <v>1.7342418500000001</v>
      </c>
    </row>
    <row r="171" spans="1:7" x14ac:dyDescent="0.2">
      <c r="A171" s="34" t="s">
        <v>75</v>
      </c>
      <c r="B171" s="34" t="s">
        <v>75</v>
      </c>
      <c r="C171" s="34" t="s">
        <v>65</v>
      </c>
      <c r="D171" s="34" t="s">
        <v>227</v>
      </c>
      <c r="E171" s="32">
        <v>22.5</v>
      </c>
      <c r="F171" s="34" t="s">
        <v>301</v>
      </c>
      <c r="G171" s="32">
        <v>1.75331093</v>
      </c>
    </row>
    <row r="172" spans="1:7" x14ac:dyDescent="0.2">
      <c r="A172" s="34" t="s">
        <v>75</v>
      </c>
      <c r="B172" s="34" t="s">
        <v>75</v>
      </c>
      <c r="C172" s="34" t="s">
        <v>65</v>
      </c>
      <c r="D172" s="34" t="s">
        <v>228</v>
      </c>
      <c r="E172" s="32">
        <v>22.5</v>
      </c>
      <c r="F172" s="34" t="s">
        <v>301</v>
      </c>
      <c r="G172" s="32">
        <v>1.74523758</v>
      </c>
    </row>
    <row r="173" spans="1:7" x14ac:dyDescent="0.2">
      <c r="A173" s="34" t="s">
        <v>75</v>
      </c>
      <c r="B173" s="34" t="s">
        <v>75</v>
      </c>
      <c r="C173" s="34" t="s">
        <v>65</v>
      </c>
      <c r="D173" s="34" t="s">
        <v>229</v>
      </c>
      <c r="E173" s="32">
        <v>22.5</v>
      </c>
      <c r="F173" s="34" t="s">
        <v>301</v>
      </c>
      <c r="G173" s="32">
        <v>1.7973560799999999</v>
      </c>
    </row>
    <row r="174" spans="1:7" x14ac:dyDescent="0.2">
      <c r="A174" s="34" t="s">
        <v>75</v>
      </c>
      <c r="B174" s="34" t="s">
        <v>75</v>
      </c>
      <c r="C174" s="34" t="s">
        <v>65</v>
      </c>
      <c r="D174" s="34" t="s">
        <v>234</v>
      </c>
      <c r="E174" s="32">
        <v>22.5</v>
      </c>
      <c r="F174" s="34" t="s">
        <v>301</v>
      </c>
      <c r="G174" s="32">
        <v>1.8557896700000001</v>
      </c>
    </row>
    <row r="175" spans="1:7" x14ac:dyDescent="0.2">
      <c r="A175" s="34" t="s">
        <v>75</v>
      </c>
      <c r="B175" s="34" t="s">
        <v>75</v>
      </c>
      <c r="C175" s="34" t="s">
        <v>223</v>
      </c>
      <c r="D175" s="34" t="s">
        <v>230</v>
      </c>
      <c r="E175" s="32">
        <v>22.5</v>
      </c>
      <c r="F175" s="34" t="s">
        <v>301</v>
      </c>
      <c r="G175" s="32">
        <v>0.86305673999999999</v>
      </c>
    </row>
    <row r="176" spans="1:7" x14ac:dyDescent="0.2">
      <c r="A176" s="34" t="s">
        <v>75</v>
      </c>
      <c r="B176" s="34" t="s">
        <v>75</v>
      </c>
      <c r="C176" s="34" t="s">
        <v>223</v>
      </c>
      <c r="D176" s="34" t="s">
        <v>231</v>
      </c>
      <c r="E176" s="32">
        <v>22.5</v>
      </c>
      <c r="F176" s="34" t="s">
        <v>301</v>
      </c>
      <c r="G176" s="32">
        <v>0.57563067999999995</v>
      </c>
    </row>
    <row r="177" spans="1:7" x14ac:dyDescent="0.2">
      <c r="A177" s="34" t="s">
        <v>75</v>
      </c>
      <c r="B177" s="34" t="s">
        <v>75</v>
      </c>
      <c r="C177" s="34" t="s">
        <v>223</v>
      </c>
      <c r="D177" s="34" t="s">
        <v>235</v>
      </c>
      <c r="E177" s="32">
        <v>22.5</v>
      </c>
      <c r="F177" s="34" t="s">
        <v>301</v>
      </c>
      <c r="G177" s="32">
        <v>1.02587871</v>
      </c>
    </row>
    <row r="178" spans="1:7" x14ac:dyDescent="0.2">
      <c r="A178" s="34" t="s">
        <v>75</v>
      </c>
      <c r="B178" s="34" t="s">
        <v>75</v>
      </c>
      <c r="C178" s="34" t="s">
        <v>223</v>
      </c>
      <c r="D178" s="34" t="s">
        <v>232</v>
      </c>
      <c r="E178" s="32">
        <v>22.5</v>
      </c>
      <c r="F178" s="34" t="s">
        <v>301</v>
      </c>
      <c r="G178" s="32">
        <v>1.0857436</v>
      </c>
    </row>
    <row r="179" spans="1:7" x14ac:dyDescent="0.2">
      <c r="A179" s="34" t="s">
        <v>75</v>
      </c>
      <c r="B179" s="34" t="s">
        <v>75</v>
      </c>
      <c r="C179" s="34" t="s">
        <v>223</v>
      </c>
      <c r="D179" s="34" t="s">
        <v>236</v>
      </c>
      <c r="E179" s="32">
        <v>22.5</v>
      </c>
      <c r="F179" s="34" t="s">
        <v>301</v>
      </c>
      <c r="G179" s="32">
        <v>0.96127216999999998</v>
      </c>
    </row>
    <row r="180" spans="1:7" x14ac:dyDescent="0.2">
      <c r="A180" s="34" t="s">
        <v>75</v>
      </c>
      <c r="B180" s="34" t="s">
        <v>221</v>
      </c>
      <c r="C180" s="34" t="s">
        <v>65</v>
      </c>
      <c r="D180" s="34" t="s">
        <v>222</v>
      </c>
      <c r="E180" s="32">
        <v>22.5</v>
      </c>
      <c r="F180" s="34" t="s">
        <v>301</v>
      </c>
      <c r="G180" s="32">
        <v>1.61330218</v>
      </c>
    </row>
    <row r="181" spans="1:7" x14ac:dyDescent="0.2">
      <c r="A181" s="34" t="s">
        <v>75</v>
      </c>
      <c r="B181" s="34" t="s">
        <v>221</v>
      </c>
      <c r="C181" s="34" t="s">
        <v>223</v>
      </c>
      <c r="D181" s="34" t="s">
        <v>224</v>
      </c>
      <c r="E181" s="32">
        <v>22.5</v>
      </c>
      <c r="F181" s="34" t="s">
        <v>301</v>
      </c>
      <c r="G181" s="32">
        <v>-7.90598E-2</v>
      </c>
    </row>
    <row r="182" spans="1:7" x14ac:dyDescent="0.2">
      <c r="A182" s="34" t="s">
        <v>52</v>
      </c>
      <c r="B182" s="34" t="s">
        <v>52</v>
      </c>
      <c r="C182" s="34" t="s">
        <v>65</v>
      </c>
      <c r="D182" s="34" t="s">
        <v>237</v>
      </c>
      <c r="E182" s="32">
        <v>22.5</v>
      </c>
      <c r="F182" s="34" t="s">
        <v>301</v>
      </c>
      <c r="G182" s="35">
        <v>1.8287926978941436</v>
      </c>
    </row>
    <row r="183" spans="1:7" x14ac:dyDescent="0.2">
      <c r="A183" s="34" t="s">
        <v>52</v>
      </c>
      <c r="B183" s="34" t="s">
        <v>52</v>
      </c>
      <c r="C183" s="34" t="s">
        <v>65</v>
      </c>
      <c r="D183" s="34" t="s">
        <v>238</v>
      </c>
      <c r="E183" s="32">
        <v>22.5</v>
      </c>
      <c r="F183" s="34" t="s">
        <v>301</v>
      </c>
      <c r="G183" s="35">
        <v>1.8869271853337288</v>
      </c>
    </row>
    <row r="184" spans="1:7" x14ac:dyDescent="0.2">
      <c r="A184" s="34" t="s">
        <v>52</v>
      </c>
      <c r="B184" s="34" t="s">
        <v>52</v>
      </c>
      <c r="C184" s="34" t="s">
        <v>65</v>
      </c>
      <c r="D184" s="34" t="s">
        <v>239</v>
      </c>
      <c r="E184" s="32">
        <v>22.5</v>
      </c>
      <c r="F184" s="34" t="s">
        <v>301</v>
      </c>
      <c r="G184" s="35">
        <v>2.0534867589842616</v>
      </c>
    </row>
    <row r="185" spans="1:7" x14ac:dyDescent="0.2">
      <c r="A185" s="34" t="s">
        <v>52</v>
      </c>
      <c r="B185" s="34" t="s">
        <v>52</v>
      </c>
      <c r="C185" s="34" t="s">
        <v>65</v>
      </c>
      <c r="D185" s="34" t="s">
        <v>240</v>
      </c>
      <c r="E185" s="32">
        <v>22.5</v>
      </c>
      <c r="F185" s="34" t="s">
        <v>301</v>
      </c>
      <c r="G185" s="35">
        <v>1.905229479980181</v>
      </c>
    </row>
    <row r="186" spans="1:7" x14ac:dyDescent="0.2">
      <c r="A186" s="34" t="s">
        <v>52</v>
      </c>
      <c r="B186" s="34" t="s">
        <v>52</v>
      </c>
      <c r="C186" s="34" t="s">
        <v>65</v>
      </c>
      <c r="D186" s="34" t="s">
        <v>245</v>
      </c>
      <c r="E186" s="32">
        <v>22.5</v>
      </c>
      <c r="F186" s="34" t="s">
        <v>301</v>
      </c>
      <c r="G186" s="35">
        <v>1.968462771235874</v>
      </c>
    </row>
    <row r="187" spans="1:7" x14ac:dyDescent="0.2">
      <c r="A187" s="34" t="s">
        <v>52</v>
      </c>
      <c r="B187" s="34" t="s">
        <v>52</v>
      </c>
      <c r="C187" s="34" t="s">
        <v>223</v>
      </c>
      <c r="D187" s="34" t="s">
        <v>241</v>
      </c>
      <c r="E187" s="32">
        <v>22.5</v>
      </c>
      <c r="F187" s="34" t="s">
        <v>301</v>
      </c>
      <c r="G187" s="35">
        <v>1.3279425971343701</v>
      </c>
    </row>
    <row r="188" spans="1:7" x14ac:dyDescent="0.2">
      <c r="A188" s="34" t="s">
        <v>52</v>
      </c>
      <c r="B188" s="34" t="s">
        <v>52</v>
      </c>
      <c r="C188" s="34" t="s">
        <v>223</v>
      </c>
      <c r="D188" s="34" t="s">
        <v>246</v>
      </c>
      <c r="E188" s="32">
        <v>22.5</v>
      </c>
      <c r="F188" s="34" t="s">
        <v>301</v>
      </c>
      <c r="G188" s="35">
        <v>1.2693382743964081</v>
      </c>
    </row>
    <row r="189" spans="1:7" x14ac:dyDescent="0.2">
      <c r="A189" s="34" t="s">
        <v>52</v>
      </c>
      <c r="B189" s="34" t="s">
        <v>52</v>
      </c>
      <c r="C189" s="34" t="s">
        <v>223</v>
      </c>
      <c r="D189" s="34" t="s">
        <v>242</v>
      </c>
      <c r="E189" s="32">
        <v>22.5</v>
      </c>
      <c r="F189" s="34" t="s">
        <v>301</v>
      </c>
      <c r="G189" s="35">
        <v>1.2309727416283296</v>
      </c>
    </row>
    <row r="190" spans="1:7" x14ac:dyDescent="0.2">
      <c r="A190" s="34" t="s">
        <v>52</v>
      </c>
      <c r="B190" s="34" t="s">
        <v>52</v>
      </c>
      <c r="C190" s="34" t="s">
        <v>223</v>
      </c>
      <c r="D190" s="34" t="s">
        <v>243</v>
      </c>
      <c r="E190" s="32">
        <v>22.5</v>
      </c>
      <c r="F190" s="34" t="s">
        <v>301</v>
      </c>
      <c r="G190" s="35">
        <v>1.5770970513129638</v>
      </c>
    </row>
    <row r="191" spans="1:7" x14ac:dyDescent="0.2">
      <c r="A191" s="34" t="s">
        <v>52</v>
      </c>
      <c r="B191" s="34" t="s">
        <v>52</v>
      </c>
      <c r="C191" s="34" t="s">
        <v>223</v>
      </c>
      <c r="D191" s="34" t="s">
        <v>244</v>
      </c>
      <c r="E191" s="32">
        <v>22.5</v>
      </c>
      <c r="F191" s="34" t="s">
        <v>301</v>
      </c>
      <c r="G191" s="35">
        <v>1.4266195005951421</v>
      </c>
    </row>
    <row r="192" spans="1:7" x14ac:dyDescent="0.2">
      <c r="A192" s="34" t="s">
        <v>52</v>
      </c>
      <c r="B192" s="34" t="s">
        <v>221</v>
      </c>
      <c r="C192" s="34" t="s">
        <v>65</v>
      </c>
      <c r="D192" s="34" t="s">
        <v>225</v>
      </c>
      <c r="E192" s="32">
        <v>22.5</v>
      </c>
      <c r="F192" s="34" t="s">
        <v>301</v>
      </c>
      <c r="G192" s="35">
        <v>1.7866321893372021</v>
      </c>
    </row>
    <row r="193" spans="1:7" x14ac:dyDescent="0.2">
      <c r="A193" s="34" t="s">
        <v>52</v>
      </c>
      <c r="B193" s="34" t="s">
        <v>221</v>
      </c>
      <c r="C193" s="34" t="s">
        <v>223</v>
      </c>
      <c r="D193" s="34" t="s">
        <v>226</v>
      </c>
      <c r="E193" s="32">
        <v>22.5</v>
      </c>
      <c r="F193" s="34" t="s">
        <v>301</v>
      </c>
      <c r="G193" s="35">
        <v>1.4094043075919067</v>
      </c>
    </row>
    <row r="194" spans="1:7" x14ac:dyDescent="0.2">
      <c r="A194" s="34" t="s">
        <v>75</v>
      </c>
      <c r="B194" s="34" t="s">
        <v>75</v>
      </c>
      <c r="C194" s="34" t="s">
        <v>65</v>
      </c>
      <c r="D194" s="34" t="s">
        <v>233</v>
      </c>
      <c r="E194" s="32">
        <v>25.5</v>
      </c>
      <c r="F194" s="34" t="s">
        <v>301</v>
      </c>
      <c r="G194" s="32">
        <v>1.7387218099999999</v>
      </c>
    </row>
    <row r="195" spans="1:7" x14ac:dyDescent="0.2">
      <c r="A195" s="34" t="s">
        <v>75</v>
      </c>
      <c r="B195" s="34" t="s">
        <v>75</v>
      </c>
      <c r="C195" s="34" t="s">
        <v>65</v>
      </c>
      <c r="D195" s="34" t="s">
        <v>227</v>
      </c>
      <c r="E195" s="32">
        <v>25.5</v>
      </c>
      <c r="F195" s="34" t="s">
        <v>301</v>
      </c>
      <c r="G195" s="32">
        <v>1.75164202</v>
      </c>
    </row>
    <row r="196" spans="1:7" x14ac:dyDescent="0.2">
      <c r="A196" s="34" t="s">
        <v>75</v>
      </c>
      <c r="B196" s="34" t="s">
        <v>75</v>
      </c>
      <c r="C196" s="34" t="s">
        <v>65</v>
      </c>
      <c r="D196" s="34" t="s">
        <v>228</v>
      </c>
      <c r="E196" s="32">
        <v>25.5</v>
      </c>
      <c r="F196" s="34" t="s">
        <v>301</v>
      </c>
      <c r="G196" s="32">
        <v>1.88023878</v>
      </c>
    </row>
    <row r="197" spans="1:7" x14ac:dyDescent="0.2">
      <c r="A197" s="34" t="s">
        <v>75</v>
      </c>
      <c r="B197" s="34" t="s">
        <v>75</v>
      </c>
      <c r="C197" s="34" t="s">
        <v>65</v>
      </c>
      <c r="D197" s="34" t="s">
        <v>229</v>
      </c>
      <c r="E197" s="32">
        <v>25.5</v>
      </c>
      <c r="F197" s="34" t="s">
        <v>301</v>
      </c>
      <c r="G197" s="32">
        <v>1.8355005200000001</v>
      </c>
    </row>
    <row r="198" spans="1:7" x14ac:dyDescent="0.2">
      <c r="A198" s="34" t="s">
        <v>75</v>
      </c>
      <c r="B198" s="34" t="s">
        <v>75</v>
      </c>
      <c r="C198" s="34" t="s">
        <v>65</v>
      </c>
      <c r="D198" s="34" t="s">
        <v>234</v>
      </c>
      <c r="E198" s="32">
        <v>25.5</v>
      </c>
      <c r="F198" s="34" t="s">
        <v>301</v>
      </c>
      <c r="G198" s="32">
        <v>1.8800614099999999</v>
      </c>
    </row>
    <row r="199" spans="1:7" x14ac:dyDescent="0.2">
      <c r="A199" s="34" t="s">
        <v>75</v>
      </c>
      <c r="B199" s="34" t="s">
        <v>75</v>
      </c>
      <c r="C199" s="34" t="s">
        <v>223</v>
      </c>
      <c r="D199" s="34" t="s">
        <v>230</v>
      </c>
      <c r="E199" s="32">
        <v>25.5</v>
      </c>
      <c r="F199" s="34" t="s">
        <v>301</v>
      </c>
      <c r="G199" s="32">
        <v>0.82798731999999997</v>
      </c>
    </row>
    <row r="200" spans="1:7" x14ac:dyDescent="0.2">
      <c r="A200" s="34" t="s">
        <v>75</v>
      </c>
      <c r="B200" s="34" t="s">
        <v>75</v>
      </c>
      <c r="C200" s="34" t="s">
        <v>223</v>
      </c>
      <c r="D200" s="34" t="s">
        <v>231</v>
      </c>
      <c r="E200" s="32">
        <v>25.5</v>
      </c>
      <c r="F200" s="34" t="s">
        <v>301</v>
      </c>
      <c r="G200" s="32">
        <v>0.77393427999999997</v>
      </c>
    </row>
    <row r="201" spans="1:7" x14ac:dyDescent="0.2">
      <c r="A201" s="34" t="s">
        <v>75</v>
      </c>
      <c r="B201" s="34" t="s">
        <v>75</v>
      </c>
      <c r="C201" s="34" t="s">
        <v>223</v>
      </c>
      <c r="D201" s="34" t="s">
        <v>235</v>
      </c>
      <c r="E201" s="32">
        <v>25.5</v>
      </c>
      <c r="F201" s="34" t="s">
        <v>301</v>
      </c>
      <c r="G201" s="32">
        <v>0.97882566000000004</v>
      </c>
    </row>
    <row r="202" spans="1:7" x14ac:dyDescent="0.2">
      <c r="A202" s="34" t="s">
        <v>75</v>
      </c>
      <c r="B202" s="34" t="s">
        <v>75</v>
      </c>
      <c r="C202" s="34" t="s">
        <v>223</v>
      </c>
      <c r="D202" s="34" t="s">
        <v>232</v>
      </c>
      <c r="E202" s="32">
        <v>25.5</v>
      </c>
      <c r="F202" s="34" t="s">
        <v>301</v>
      </c>
      <c r="G202" s="32">
        <v>0.93095715000000001</v>
      </c>
    </row>
    <row r="203" spans="1:7" x14ac:dyDescent="0.2">
      <c r="A203" s="34" t="s">
        <v>75</v>
      </c>
      <c r="B203" s="34" t="s">
        <v>75</v>
      </c>
      <c r="C203" s="34" t="s">
        <v>223</v>
      </c>
      <c r="D203" s="34" t="s">
        <v>236</v>
      </c>
      <c r="E203" s="32">
        <v>25.5</v>
      </c>
      <c r="F203" s="34" t="s">
        <v>301</v>
      </c>
      <c r="G203" s="32">
        <v>0.62151889000000005</v>
      </c>
    </row>
    <row r="204" spans="1:7" x14ac:dyDescent="0.2">
      <c r="A204" s="34" t="s">
        <v>75</v>
      </c>
      <c r="B204" s="34" t="s">
        <v>221</v>
      </c>
      <c r="C204" s="34" t="s">
        <v>65</v>
      </c>
      <c r="D204" s="34" t="s">
        <v>222</v>
      </c>
      <c r="E204" s="32">
        <v>25.5</v>
      </c>
      <c r="F204" s="34" t="s">
        <v>301</v>
      </c>
      <c r="G204" s="32">
        <v>1.5715923599999999</v>
      </c>
    </row>
    <row r="205" spans="1:7" x14ac:dyDescent="0.2">
      <c r="A205" s="34" t="s">
        <v>75</v>
      </c>
      <c r="B205" s="34" t="s">
        <v>221</v>
      </c>
      <c r="C205" s="34" t="s">
        <v>223</v>
      </c>
      <c r="D205" s="34" t="s">
        <v>224</v>
      </c>
      <c r="E205" s="32">
        <v>25.5</v>
      </c>
      <c r="F205" s="34" t="s">
        <v>301</v>
      </c>
      <c r="G205" s="32">
        <v>0.86414027000000004</v>
      </c>
    </row>
    <row r="206" spans="1:7" x14ac:dyDescent="0.2">
      <c r="A206" s="34" t="s">
        <v>52</v>
      </c>
      <c r="B206" s="34" t="s">
        <v>52</v>
      </c>
      <c r="C206" s="34" t="s">
        <v>65</v>
      </c>
      <c r="D206" s="34" t="s">
        <v>237</v>
      </c>
      <c r="E206" s="32">
        <v>25.5</v>
      </c>
      <c r="F206" s="34" t="s">
        <v>301</v>
      </c>
      <c r="G206" s="35">
        <v>1.907898508422422</v>
      </c>
    </row>
    <row r="207" spans="1:7" x14ac:dyDescent="0.2">
      <c r="A207" s="34" t="s">
        <v>52</v>
      </c>
      <c r="B207" s="34" t="s">
        <v>52</v>
      </c>
      <c r="C207" s="34" t="s">
        <v>65</v>
      </c>
      <c r="D207" s="34" t="s">
        <v>238</v>
      </c>
      <c r="E207" s="32">
        <v>25.5</v>
      </c>
      <c r="F207" s="34" t="s">
        <v>301</v>
      </c>
      <c r="G207" s="35">
        <v>1.8974892292898673</v>
      </c>
    </row>
    <row r="208" spans="1:7" x14ac:dyDescent="0.2">
      <c r="A208" s="34" t="s">
        <v>52</v>
      </c>
      <c r="B208" s="34" t="s">
        <v>52</v>
      </c>
      <c r="C208" s="34" t="s">
        <v>65</v>
      </c>
      <c r="D208" s="34" t="s">
        <v>239</v>
      </c>
      <c r="E208" s="32">
        <v>25.5</v>
      </c>
      <c r="F208" s="34" t="s">
        <v>301</v>
      </c>
      <c r="G208" s="35">
        <v>1.9520480187146338</v>
      </c>
    </row>
    <row r="209" spans="1:7" x14ac:dyDescent="0.2">
      <c r="A209" s="34" t="s">
        <v>52</v>
      </c>
      <c r="B209" s="34" t="s">
        <v>52</v>
      </c>
      <c r="C209" s="34" t="s">
        <v>65</v>
      </c>
      <c r="D209" s="34" t="s">
        <v>240</v>
      </c>
      <c r="E209" s="32">
        <v>25.5</v>
      </c>
      <c r="F209" s="34" t="s">
        <v>301</v>
      </c>
      <c r="G209" s="35">
        <v>1.9887112509618416</v>
      </c>
    </row>
    <row r="210" spans="1:7" x14ac:dyDescent="0.2">
      <c r="A210" s="34" t="s">
        <v>52</v>
      </c>
      <c r="B210" s="34" t="s">
        <v>52</v>
      </c>
      <c r="C210" s="34" t="s">
        <v>65</v>
      </c>
      <c r="D210" s="34" t="s">
        <v>245</v>
      </c>
      <c r="E210" s="32">
        <v>25.5</v>
      </c>
      <c r="F210" s="34" t="s">
        <v>301</v>
      </c>
      <c r="G210" s="35">
        <v>1.9980024167322779</v>
      </c>
    </row>
    <row r="211" spans="1:7" x14ac:dyDescent="0.2">
      <c r="A211" s="34" t="s">
        <v>52</v>
      </c>
      <c r="B211" s="34" t="s">
        <v>52</v>
      </c>
      <c r="C211" s="34" t="s">
        <v>223</v>
      </c>
      <c r="D211" s="34" t="s">
        <v>241</v>
      </c>
      <c r="E211" s="32">
        <v>25.5</v>
      </c>
      <c r="F211" s="34" t="s">
        <v>301</v>
      </c>
      <c r="G211" s="35">
        <v>1.2939461049664618</v>
      </c>
    </row>
    <row r="212" spans="1:7" x14ac:dyDescent="0.2">
      <c r="A212" s="34" t="s">
        <v>52</v>
      </c>
      <c r="B212" s="34" t="s">
        <v>52</v>
      </c>
      <c r="C212" s="34" t="s">
        <v>223</v>
      </c>
      <c r="D212" s="34" t="s">
        <v>246</v>
      </c>
      <c r="E212" s="32">
        <v>25.5</v>
      </c>
      <c r="F212" s="34" t="s">
        <v>301</v>
      </c>
      <c r="G212" s="35">
        <v>1.0953482931223804</v>
      </c>
    </row>
    <row r="213" spans="1:7" x14ac:dyDescent="0.2">
      <c r="A213" s="34" t="s">
        <v>52</v>
      </c>
      <c r="B213" s="34" t="s">
        <v>52</v>
      </c>
      <c r="C213" s="34" t="s">
        <v>223</v>
      </c>
      <c r="D213" s="34" t="s">
        <v>242</v>
      </c>
      <c r="E213" s="32">
        <v>25.5</v>
      </c>
      <c r="F213" s="34" t="s">
        <v>301</v>
      </c>
      <c r="G213" s="35">
        <v>0.94726095587881565</v>
      </c>
    </row>
    <row r="214" spans="1:7" x14ac:dyDescent="0.2">
      <c r="A214" s="34" t="s">
        <v>52</v>
      </c>
      <c r="B214" s="34" t="s">
        <v>52</v>
      </c>
      <c r="C214" s="34" t="s">
        <v>223</v>
      </c>
      <c r="D214" s="34" t="s">
        <v>243</v>
      </c>
      <c r="E214" s="32">
        <v>25.5</v>
      </c>
      <c r="F214" s="34" t="s">
        <v>301</v>
      </c>
      <c r="G214" s="35">
        <v>1.3081475157717577</v>
      </c>
    </row>
    <row r="215" spans="1:7" x14ac:dyDescent="0.2">
      <c r="A215" s="34" t="s">
        <v>52</v>
      </c>
      <c r="B215" s="34" t="s">
        <v>52</v>
      </c>
      <c r="C215" s="34" t="s">
        <v>223</v>
      </c>
      <c r="D215" s="34" t="s">
        <v>244</v>
      </c>
      <c r="E215" s="32">
        <v>25.5</v>
      </c>
      <c r="F215" s="34" t="s">
        <v>301</v>
      </c>
      <c r="G215" s="35">
        <v>1.3710714085252114</v>
      </c>
    </row>
    <row r="216" spans="1:7" x14ac:dyDescent="0.2">
      <c r="A216" s="34" t="s">
        <v>52</v>
      </c>
      <c r="B216" s="34" t="s">
        <v>221</v>
      </c>
      <c r="C216" s="34" t="s">
        <v>65</v>
      </c>
      <c r="D216" s="34" t="s">
        <v>225</v>
      </c>
      <c r="E216" s="32">
        <v>25.5</v>
      </c>
      <c r="F216" s="34" t="s">
        <v>301</v>
      </c>
      <c r="G216" s="35">
        <v>2.0274940053145962</v>
      </c>
    </row>
    <row r="217" spans="1:7" x14ac:dyDescent="0.2">
      <c r="A217" s="34" t="s">
        <v>52</v>
      </c>
      <c r="B217" s="34" t="s">
        <v>221</v>
      </c>
      <c r="C217" s="34" t="s">
        <v>223</v>
      </c>
      <c r="D217" s="34" t="s">
        <v>226</v>
      </c>
      <c r="E217" s="32">
        <v>25.5</v>
      </c>
      <c r="F217" s="34" t="s">
        <v>301</v>
      </c>
      <c r="G217" s="35">
        <v>1.344165581667645</v>
      </c>
    </row>
    <row r="218" spans="1:7" x14ac:dyDescent="0.2">
      <c r="A218" s="34" t="s">
        <v>75</v>
      </c>
      <c r="B218" s="34" t="s">
        <v>75</v>
      </c>
      <c r="C218" s="34" t="s">
        <v>65</v>
      </c>
      <c r="D218" s="34" t="s">
        <v>233</v>
      </c>
      <c r="E218" s="32">
        <v>28.5</v>
      </c>
      <c r="F218" s="34" t="s">
        <v>301</v>
      </c>
      <c r="G218" s="32">
        <v>1.8445042679999999</v>
      </c>
    </row>
    <row r="219" spans="1:7" x14ac:dyDescent="0.2">
      <c r="A219" s="34" t="s">
        <v>75</v>
      </c>
      <c r="B219" s="34" t="s">
        <v>75</v>
      </c>
      <c r="C219" s="34" t="s">
        <v>65</v>
      </c>
      <c r="D219" s="34" t="s">
        <v>227</v>
      </c>
      <c r="E219" s="32">
        <v>28.5</v>
      </c>
      <c r="F219" s="34" t="s">
        <v>301</v>
      </c>
      <c r="G219" s="32">
        <v>1.884117593</v>
      </c>
    </row>
    <row r="220" spans="1:7" x14ac:dyDescent="0.2">
      <c r="A220" s="34" t="s">
        <v>75</v>
      </c>
      <c r="B220" s="34" t="s">
        <v>75</v>
      </c>
      <c r="C220" s="34" t="s">
        <v>65</v>
      </c>
      <c r="D220" s="34" t="s">
        <v>228</v>
      </c>
      <c r="E220" s="32">
        <v>28.5</v>
      </c>
      <c r="F220" s="34" t="s">
        <v>301</v>
      </c>
      <c r="G220" s="32">
        <v>1.9542231999999999</v>
      </c>
    </row>
    <row r="221" spans="1:7" x14ac:dyDescent="0.2">
      <c r="A221" s="34" t="s">
        <v>75</v>
      </c>
      <c r="B221" s="34" t="s">
        <v>75</v>
      </c>
      <c r="C221" s="34" t="s">
        <v>65</v>
      </c>
      <c r="D221" s="34" t="s">
        <v>229</v>
      </c>
      <c r="E221" s="32">
        <v>28.5</v>
      </c>
      <c r="F221" s="34" t="s">
        <v>301</v>
      </c>
      <c r="G221" s="32">
        <v>1.915357449</v>
      </c>
    </row>
    <row r="222" spans="1:7" x14ac:dyDescent="0.2">
      <c r="A222" s="34" t="s">
        <v>75</v>
      </c>
      <c r="B222" s="34" t="s">
        <v>75</v>
      </c>
      <c r="C222" s="34" t="s">
        <v>65</v>
      </c>
      <c r="D222" s="34" t="s">
        <v>234</v>
      </c>
      <c r="E222" s="32">
        <v>28.5</v>
      </c>
      <c r="F222" s="34" t="s">
        <v>301</v>
      </c>
      <c r="G222" s="32">
        <v>1.8860570940000001</v>
      </c>
    </row>
    <row r="223" spans="1:7" x14ac:dyDescent="0.2">
      <c r="A223" s="34" t="s">
        <v>75</v>
      </c>
      <c r="B223" s="34" t="s">
        <v>75</v>
      </c>
      <c r="C223" s="34" t="s">
        <v>223</v>
      </c>
      <c r="D223" s="34" t="s">
        <v>230</v>
      </c>
      <c r="E223" s="32">
        <v>28.5</v>
      </c>
      <c r="F223" s="34" t="s">
        <v>301</v>
      </c>
      <c r="G223" s="32">
        <v>1.211765204</v>
      </c>
    </row>
    <row r="224" spans="1:7" x14ac:dyDescent="0.2">
      <c r="A224" s="34" t="s">
        <v>75</v>
      </c>
      <c r="B224" s="34" t="s">
        <v>75</v>
      </c>
      <c r="C224" s="34" t="s">
        <v>223</v>
      </c>
      <c r="D224" s="34" t="s">
        <v>231</v>
      </c>
      <c r="E224" s="32">
        <v>28.5</v>
      </c>
      <c r="F224" s="34" t="s">
        <v>301</v>
      </c>
      <c r="G224" s="32">
        <v>0.89007475899999999</v>
      </c>
    </row>
    <row r="225" spans="1:7" x14ac:dyDescent="0.2">
      <c r="A225" s="34" t="s">
        <v>75</v>
      </c>
      <c r="B225" s="34" t="s">
        <v>75</v>
      </c>
      <c r="C225" s="34" t="s">
        <v>223</v>
      </c>
      <c r="D225" s="34" t="s">
        <v>235</v>
      </c>
      <c r="E225" s="32">
        <v>28.5</v>
      </c>
      <c r="F225" s="34" t="s">
        <v>301</v>
      </c>
      <c r="G225" s="32">
        <v>1.284854994</v>
      </c>
    </row>
    <row r="226" spans="1:7" x14ac:dyDescent="0.2">
      <c r="A226" s="34" t="s">
        <v>75</v>
      </c>
      <c r="B226" s="34" t="s">
        <v>75</v>
      </c>
      <c r="C226" s="34" t="s">
        <v>223</v>
      </c>
      <c r="D226" s="34" t="s">
        <v>232</v>
      </c>
      <c r="E226" s="32">
        <v>28.5</v>
      </c>
      <c r="F226" s="34" t="s">
        <v>301</v>
      </c>
      <c r="G226" s="32">
        <v>1.282761029</v>
      </c>
    </row>
    <row r="227" spans="1:7" x14ac:dyDescent="0.2">
      <c r="A227" s="34" t="s">
        <v>75</v>
      </c>
      <c r="B227" s="34" t="s">
        <v>75</v>
      </c>
      <c r="C227" s="34" t="s">
        <v>223</v>
      </c>
      <c r="D227" s="34" t="s">
        <v>236</v>
      </c>
      <c r="E227" s="32">
        <v>28.5</v>
      </c>
      <c r="F227" s="34" t="s">
        <v>301</v>
      </c>
      <c r="G227" s="32">
        <v>0.93904608199999995</v>
      </c>
    </row>
    <row r="228" spans="1:7" x14ac:dyDescent="0.2">
      <c r="A228" s="34" t="s">
        <v>75</v>
      </c>
      <c r="B228" s="34" t="s">
        <v>221</v>
      </c>
      <c r="C228" s="34" t="s">
        <v>65</v>
      </c>
      <c r="D228" s="34" t="s">
        <v>222</v>
      </c>
      <c r="E228" s="32">
        <v>28.5</v>
      </c>
      <c r="F228" s="34" t="s">
        <v>301</v>
      </c>
      <c r="G228" s="32">
        <v>1.723982793</v>
      </c>
    </row>
    <row r="229" spans="1:7" x14ac:dyDescent="0.2">
      <c r="A229" s="34" t="s">
        <v>75</v>
      </c>
      <c r="B229" s="34" t="s">
        <v>221</v>
      </c>
      <c r="C229" s="34" t="s">
        <v>223</v>
      </c>
      <c r="D229" s="34" t="s">
        <v>224</v>
      </c>
      <c r="E229" s="32">
        <v>28.5</v>
      </c>
      <c r="F229" s="34" t="s">
        <v>301</v>
      </c>
      <c r="G229" s="32">
        <v>0.99788434999999998</v>
      </c>
    </row>
    <row r="230" spans="1:7" x14ac:dyDescent="0.2">
      <c r="A230" s="34" t="s">
        <v>52</v>
      </c>
      <c r="B230" s="34" t="s">
        <v>52</v>
      </c>
      <c r="C230" s="34" t="s">
        <v>65</v>
      </c>
      <c r="D230" s="34" t="s">
        <v>237</v>
      </c>
      <c r="E230" s="32">
        <v>28.5</v>
      </c>
      <c r="F230" s="34" t="s">
        <v>301</v>
      </c>
      <c r="G230" s="35">
        <v>1.8636599889133307</v>
      </c>
    </row>
    <row r="231" spans="1:7" x14ac:dyDescent="0.2">
      <c r="A231" s="34" t="s">
        <v>52</v>
      </c>
      <c r="B231" s="34" t="s">
        <v>52</v>
      </c>
      <c r="C231" s="34" t="s">
        <v>65</v>
      </c>
      <c r="D231" s="34" t="s">
        <v>238</v>
      </c>
      <c r="E231" s="32">
        <v>28.5</v>
      </c>
      <c r="F231" s="34" t="s">
        <v>301</v>
      </c>
      <c r="G231" s="35">
        <v>1.8034861756695266</v>
      </c>
    </row>
    <row r="232" spans="1:7" x14ac:dyDescent="0.2">
      <c r="A232" s="34" t="s">
        <v>52</v>
      </c>
      <c r="B232" s="34" t="s">
        <v>52</v>
      </c>
      <c r="C232" s="34" t="s">
        <v>65</v>
      </c>
      <c r="D232" s="34" t="s">
        <v>239</v>
      </c>
      <c r="E232" s="32">
        <v>28.5</v>
      </c>
      <c r="F232" s="34" t="s">
        <v>301</v>
      </c>
      <c r="G232" s="35">
        <v>1.9338009525233477</v>
      </c>
    </row>
    <row r="233" spans="1:7" x14ac:dyDescent="0.2">
      <c r="A233" s="34" t="s">
        <v>52</v>
      </c>
      <c r="B233" s="34" t="s">
        <v>52</v>
      </c>
      <c r="C233" s="34" t="s">
        <v>65</v>
      </c>
      <c r="D233" s="34" t="s">
        <v>240</v>
      </c>
      <c r="E233" s="32">
        <v>28.5</v>
      </c>
      <c r="F233" s="34" t="s">
        <v>301</v>
      </c>
      <c r="G233" s="35">
        <v>1.9480677384615859</v>
      </c>
    </row>
    <row r="234" spans="1:7" x14ac:dyDescent="0.2">
      <c r="A234" s="34" t="s">
        <v>52</v>
      </c>
      <c r="B234" s="34" t="s">
        <v>52</v>
      </c>
      <c r="C234" s="34" t="s">
        <v>65</v>
      </c>
      <c r="D234" s="34" t="s">
        <v>245</v>
      </c>
      <c r="E234" s="32">
        <v>28.5</v>
      </c>
      <c r="F234" s="34" t="s">
        <v>301</v>
      </c>
      <c r="G234" s="35">
        <v>1.9537219254194997</v>
      </c>
    </row>
    <row r="235" spans="1:7" x14ac:dyDescent="0.2">
      <c r="A235" s="34" t="s">
        <v>52</v>
      </c>
      <c r="B235" s="34" t="s">
        <v>52</v>
      </c>
      <c r="C235" s="34" t="s">
        <v>223</v>
      </c>
      <c r="D235" s="34" t="s">
        <v>241</v>
      </c>
      <c r="E235" s="32">
        <v>28.5</v>
      </c>
      <c r="F235" s="34" t="s">
        <v>301</v>
      </c>
      <c r="G235" s="35">
        <v>0.9368299126707571</v>
      </c>
    </row>
    <row r="236" spans="1:7" x14ac:dyDescent="0.2">
      <c r="A236" s="34" t="s">
        <v>52</v>
      </c>
      <c r="B236" s="34" t="s">
        <v>52</v>
      </c>
      <c r="C236" s="34" t="s">
        <v>223</v>
      </c>
      <c r="D236" s="34" t="s">
        <v>246</v>
      </c>
      <c r="E236" s="32">
        <v>28.5</v>
      </c>
      <c r="F236" s="34" t="s">
        <v>301</v>
      </c>
      <c r="G236" s="35">
        <v>0.96070371436835866</v>
      </c>
    </row>
    <row r="237" spans="1:7" x14ac:dyDescent="0.2">
      <c r="A237" s="34" t="s">
        <v>52</v>
      </c>
      <c r="B237" s="34" t="s">
        <v>52</v>
      </c>
      <c r="C237" s="34" t="s">
        <v>223</v>
      </c>
      <c r="D237" s="34" t="s">
        <v>242</v>
      </c>
      <c r="E237" s="32">
        <v>28.5</v>
      </c>
      <c r="F237" s="34" t="s">
        <v>301</v>
      </c>
      <c r="G237" s="35">
        <v>0.57818346034845336</v>
      </c>
    </row>
    <row r="238" spans="1:7" x14ac:dyDescent="0.2">
      <c r="A238" s="34" t="s">
        <v>52</v>
      </c>
      <c r="B238" s="34" t="s">
        <v>52</v>
      </c>
      <c r="C238" s="34" t="s">
        <v>223</v>
      </c>
      <c r="D238" s="34" t="s">
        <v>243</v>
      </c>
      <c r="E238" s="32">
        <v>28.5</v>
      </c>
      <c r="F238" s="34" t="s">
        <v>301</v>
      </c>
      <c r="G238" s="35">
        <v>0.88245506780532246</v>
      </c>
    </row>
    <row r="239" spans="1:7" x14ac:dyDescent="0.2">
      <c r="A239" s="34" t="s">
        <v>52</v>
      </c>
      <c r="B239" s="34" t="s">
        <v>52</v>
      </c>
      <c r="C239" s="34" t="s">
        <v>223</v>
      </c>
      <c r="D239" s="34" t="s">
        <v>244</v>
      </c>
      <c r="E239" s="32">
        <v>28.5</v>
      </c>
      <c r="F239" s="34" t="s">
        <v>301</v>
      </c>
      <c r="G239" s="35">
        <v>1.1671264243138915</v>
      </c>
    </row>
    <row r="240" spans="1:7" x14ac:dyDescent="0.2">
      <c r="A240" s="34" t="s">
        <v>52</v>
      </c>
      <c r="B240" s="34" t="s">
        <v>221</v>
      </c>
      <c r="C240" s="34" t="s">
        <v>65</v>
      </c>
      <c r="D240" s="34" t="s">
        <v>225</v>
      </c>
      <c r="E240" s="32">
        <v>28.5</v>
      </c>
      <c r="F240" s="34" t="s">
        <v>301</v>
      </c>
      <c r="G240" s="35">
        <v>1.8911332854632219</v>
      </c>
    </row>
    <row r="241" spans="1:7" x14ac:dyDescent="0.2">
      <c r="A241" s="34" t="s">
        <v>52</v>
      </c>
      <c r="B241" s="34" t="s">
        <v>221</v>
      </c>
      <c r="C241" s="34" t="s">
        <v>223</v>
      </c>
      <c r="D241" s="34" t="s">
        <v>226</v>
      </c>
      <c r="E241" s="32">
        <v>28.5</v>
      </c>
      <c r="F241" s="34" t="s">
        <v>301</v>
      </c>
      <c r="G241" s="35">
        <v>1.2870024385729621</v>
      </c>
    </row>
    <row r="242" spans="1:7" x14ac:dyDescent="0.2">
      <c r="A242" s="34" t="s">
        <v>75</v>
      </c>
      <c r="B242" s="34" t="s">
        <v>75</v>
      </c>
      <c r="C242" s="34" t="s">
        <v>65</v>
      </c>
      <c r="D242" s="34" t="s">
        <v>233</v>
      </c>
      <c r="E242" s="32">
        <v>31.5</v>
      </c>
      <c r="F242" s="34" t="s">
        <v>301</v>
      </c>
      <c r="G242" s="32">
        <v>1.7870864829999999</v>
      </c>
    </row>
    <row r="243" spans="1:7" x14ac:dyDescent="0.2">
      <c r="A243" s="34" t="s">
        <v>75</v>
      </c>
      <c r="B243" s="34" t="s">
        <v>75</v>
      </c>
      <c r="C243" s="34" t="s">
        <v>65</v>
      </c>
      <c r="D243" s="34" t="s">
        <v>227</v>
      </c>
      <c r="E243" s="32">
        <v>31.5</v>
      </c>
      <c r="F243" s="34" t="s">
        <v>301</v>
      </c>
      <c r="G243" s="32">
        <v>1.8335412950000001</v>
      </c>
    </row>
    <row r="244" spans="1:7" x14ac:dyDescent="0.2">
      <c r="A244" s="34" t="s">
        <v>75</v>
      </c>
      <c r="B244" s="34" t="s">
        <v>75</v>
      </c>
      <c r="C244" s="34" t="s">
        <v>65</v>
      </c>
      <c r="D244" s="34" t="s">
        <v>228</v>
      </c>
      <c r="E244" s="32">
        <v>31.5</v>
      </c>
      <c r="F244" s="34" t="s">
        <v>301</v>
      </c>
      <c r="G244" s="32">
        <v>1.8228275330000001</v>
      </c>
    </row>
    <row r="245" spans="1:7" x14ac:dyDescent="0.2">
      <c r="A245" s="34" t="s">
        <v>75</v>
      </c>
      <c r="B245" s="34" t="s">
        <v>75</v>
      </c>
      <c r="C245" s="34" t="s">
        <v>65</v>
      </c>
      <c r="D245" s="34" t="s">
        <v>229</v>
      </c>
      <c r="E245" s="32">
        <v>31.5</v>
      </c>
      <c r="F245" s="34" t="s">
        <v>301</v>
      </c>
      <c r="G245" s="32">
        <v>1.9123571500000001</v>
      </c>
    </row>
    <row r="246" spans="1:7" x14ac:dyDescent="0.2">
      <c r="A246" s="34" t="s">
        <v>75</v>
      </c>
      <c r="B246" s="34" t="s">
        <v>75</v>
      </c>
      <c r="C246" s="34" t="s">
        <v>65</v>
      </c>
      <c r="D246" s="34" t="s">
        <v>234</v>
      </c>
      <c r="E246" s="32">
        <v>31.5</v>
      </c>
      <c r="F246" s="34" t="s">
        <v>301</v>
      </c>
      <c r="G246" s="32">
        <v>1.969773311</v>
      </c>
    </row>
    <row r="247" spans="1:7" x14ac:dyDescent="0.2">
      <c r="A247" s="34" t="s">
        <v>75</v>
      </c>
      <c r="B247" s="34" t="s">
        <v>75</v>
      </c>
      <c r="C247" s="34" t="s">
        <v>223</v>
      </c>
      <c r="D247" s="34" t="s">
        <v>230</v>
      </c>
      <c r="E247" s="32">
        <v>31.5</v>
      </c>
      <c r="F247" s="34" t="s">
        <v>301</v>
      </c>
      <c r="G247" s="32">
        <v>1.1505639839999999</v>
      </c>
    </row>
    <row r="248" spans="1:7" x14ac:dyDescent="0.2">
      <c r="A248" s="34" t="s">
        <v>75</v>
      </c>
      <c r="B248" s="34" t="s">
        <v>75</v>
      </c>
      <c r="C248" s="34" t="s">
        <v>223</v>
      </c>
      <c r="D248" s="34" t="s">
        <v>231</v>
      </c>
      <c r="E248" s="32">
        <v>31.5</v>
      </c>
      <c r="F248" s="34" t="s">
        <v>301</v>
      </c>
      <c r="G248" s="32">
        <v>1.0421307980000001</v>
      </c>
    </row>
    <row r="249" spans="1:7" x14ac:dyDescent="0.2">
      <c r="A249" s="34" t="s">
        <v>75</v>
      </c>
      <c r="B249" s="34" t="s">
        <v>75</v>
      </c>
      <c r="C249" s="34" t="s">
        <v>223</v>
      </c>
      <c r="D249" s="34" t="s">
        <v>235</v>
      </c>
      <c r="E249" s="32">
        <v>31.5</v>
      </c>
      <c r="F249" s="34" t="s">
        <v>301</v>
      </c>
      <c r="G249" s="32">
        <v>1.2862299020000001</v>
      </c>
    </row>
    <row r="250" spans="1:7" x14ac:dyDescent="0.2">
      <c r="A250" s="34" t="s">
        <v>75</v>
      </c>
      <c r="B250" s="34" t="s">
        <v>75</v>
      </c>
      <c r="C250" s="34" t="s">
        <v>223</v>
      </c>
      <c r="D250" s="34" t="s">
        <v>232</v>
      </c>
      <c r="E250" s="32">
        <v>31.5</v>
      </c>
      <c r="F250" s="34" t="s">
        <v>301</v>
      </c>
      <c r="G250" s="32">
        <v>1.1520018489999999</v>
      </c>
    </row>
    <row r="251" spans="1:7" x14ac:dyDescent="0.2">
      <c r="A251" s="34" t="s">
        <v>75</v>
      </c>
      <c r="B251" s="34" t="s">
        <v>75</v>
      </c>
      <c r="C251" s="34" t="s">
        <v>223</v>
      </c>
      <c r="D251" s="34" t="s">
        <v>236</v>
      </c>
      <c r="E251" s="32">
        <v>31.5</v>
      </c>
      <c r="F251" s="34" t="s">
        <v>301</v>
      </c>
      <c r="G251" s="32">
        <v>0.921077276</v>
      </c>
    </row>
    <row r="252" spans="1:7" x14ac:dyDescent="0.2">
      <c r="A252" s="34" t="s">
        <v>75</v>
      </c>
      <c r="B252" s="34" t="s">
        <v>221</v>
      </c>
      <c r="C252" s="34" t="s">
        <v>65</v>
      </c>
      <c r="D252" s="34" t="s">
        <v>222</v>
      </c>
      <c r="E252" s="32">
        <v>31.5</v>
      </c>
      <c r="F252" s="34" t="s">
        <v>301</v>
      </c>
      <c r="G252" s="32">
        <v>1.630158357</v>
      </c>
    </row>
    <row r="253" spans="1:7" x14ac:dyDescent="0.2">
      <c r="A253" s="34" t="s">
        <v>75</v>
      </c>
      <c r="B253" s="34" t="s">
        <v>221</v>
      </c>
      <c r="C253" s="34" t="s">
        <v>223</v>
      </c>
      <c r="D253" s="34" t="s">
        <v>224</v>
      </c>
      <c r="E253" s="32">
        <v>31.5</v>
      </c>
      <c r="F253" s="34" t="s">
        <v>301</v>
      </c>
      <c r="G253" s="32">
        <v>1.049088834</v>
      </c>
    </row>
    <row r="254" spans="1:7" x14ac:dyDescent="0.2">
      <c r="A254" s="34" t="s">
        <v>52</v>
      </c>
      <c r="B254" s="34" t="s">
        <v>52</v>
      </c>
      <c r="C254" s="34" t="s">
        <v>65</v>
      </c>
      <c r="D254" s="34" t="s">
        <v>237</v>
      </c>
      <c r="E254" s="32">
        <v>31.5</v>
      </c>
      <c r="F254" s="34" t="s">
        <v>301</v>
      </c>
      <c r="G254" s="35">
        <v>1.7722225818100033</v>
      </c>
    </row>
    <row r="255" spans="1:7" x14ac:dyDescent="0.2">
      <c r="A255" s="34" t="s">
        <v>52</v>
      </c>
      <c r="B255" s="34" t="s">
        <v>52</v>
      </c>
      <c r="C255" s="34" t="s">
        <v>65</v>
      </c>
      <c r="D255" s="34" t="s">
        <v>238</v>
      </c>
      <c r="E255" s="32">
        <v>31.5</v>
      </c>
      <c r="F255" s="34" t="s">
        <v>301</v>
      </c>
      <c r="G255" s="35">
        <v>1.8581695932625129</v>
      </c>
    </row>
    <row r="256" spans="1:7" x14ac:dyDescent="0.2">
      <c r="A256" s="34" t="s">
        <v>52</v>
      </c>
      <c r="B256" s="34" t="s">
        <v>52</v>
      </c>
      <c r="C256" s="34" t="s">
        <v>65</v>
      </c>
      <c r="D256" s="34" t="s">
        <v>239</v>
      </c>
      <c r="E256" s="32">
        <v>31.5</v>
      </c>
      <c r="F256" s="34" t="s">
        <v>301</v>
      </c>
      <c r="G256" s="35">
        <v>1.8786370060732371</v>
      </c>
    </row>
    <row r="257" spans="1:7" x14ac:dyDescent="0.2">
      <c r="A257" s="34" t="s">
        <v>52</v>
      </c>
      <c r="B257" s="34" t="s">
        <v>52</v>
      </c>
      <c r="C257" s="34" t="s">
        <v>65</v>
      </c>
      <c r="D257" s="34" t="s">
        <v>240</v>
      </c>
      <c r="E257" s="32">
        <v>31.5</v>
      </c>
      <c r="F257" s="34" t="s">
        <v>301</v>
      </c>
      <c r="G257" s="35">
        <v>1.9109932844897293</v>
      </c>
    </row>
    <row r="258" spans="1:7" x14ac:dyDescent="0.2">
      <c r="A258" s="34" t="s">
        <v>52</v>
      </c>
      <c r="B258" s="34" t="s">
        <v>52</v>
      </c>
      <c r="C258" s="34" t="s">
        <v>65</v>
      </c>
      <c r="D258" s="34" t="s">
        <v>245</v>
      </c>
      <c r="E258" s="32">
        <v>31.5</v>
      </c>
      <c r="F258" s="34" t="s">
        <v>301</v>
      </c>
      <c r="G258" s="35">
        <v>1.9257478036535671</v>
      </c>
    </row>
    <row r="259" spans="1:7" x14ac:dyDescent="0.2">
      <c r="A259" s="34" t="s">
        <v>52</v>
      </c>
      <c r="B259" s="34" t="s">
        <v>52</v>
      </c>
      <c r="C259" s="34" t="s">
        <v>223</v>
      </c>
      <c r="D259" s="34" t="s">
        <v>241</v>
      </c>
      <c r="E259" s="32">
        <v>31.5</v>
      </c>
      <c r="F259" s="34" t="s">
        <v>301</v>
      </c>
      <c r="G259" s="35">
        <v>0.80743812888207056</v>
      </c>
    </row>
    <row r="260" spans="1:7" x14ac:dyDescent="0.2">
      <c r="A260" s="34" t="s">
        <v>52</v>
      </c>
      <c r="B260" s="34" t="s">
        <v>52</v>
      </c>
      <c r="C260" s="34" t="s">
        <v>223</v>
      </c>
      <c r="D260" s="34" t="s">
        <v>246</v>
      </c>
      <c r="E260" s="32">
        <v>31.5</v>
      </c>
      <c r="F260" s="34" t="s">
        <v>301</v>
      </c>
      <c r="G260" s="35">
        <v>1.1721054632247707</v>
      </c>
    </row>
    <row r="261" spans="1:7" x14ac:dyDescent="0.2">
      <c r="A261" s="34" t="s">
        <v>52</v>
      </c>
      <c r="B261" s="34" t="s">
        <v>52</v>
      </c>
      <c r="C261" s="34" t="s">
        <v>223</v>
      </c>
      <c r="D261" s="34" t="s">
        <v>242</v>
      </c>
      <c r="E261" s="32">
        <v>31.5</v>
      </c>
      <c r="F261" s="34" t="s">
        <v>301</v>
      </c>
      <c r="G261" s="35">
        <v>0.79994468798192753</v>
      </c>
    </row>
    <row r="262" spans="1:7" x14ac:dyDescent="0.2">
      <c r="A262" s="34" t="s">
        <v>52</v>
      </c>
      <c r="B262" s="34" t="s">
        <v>52</v>
      </c>
      <c r="C262" s="34" t="s">
        <v>223</v>
      </c>
      <c r="D262" s="34" t="s">
        <v>243</v>
      </c>
      <c r="E262" s="32">
        <v>31.5</v>
      </c>
      <c r="F262" s="34" t="s">
        <v>301</v>
      </c>
      <c r="G262" s="35">
        <v>1.0108902251336656</v>
      </c>
    </row>
    <row r="263" spans="1:7" x14ac:dyDescent="0.2">
      <c r="A263" s="34" t="s">
        <v>52</v>
      </c>
      <c r="B263" s="34" t="s">
        <v>52</v>
      </c>
      <c r="C263" s="34" t="s">
        <v>223</v>
      </c>
      <c r="D263" s="34" t="s">
        <v>244</v>
      </c>
      <c r="E263" s="32">
        <v>31.5</v>
      </c>
      <c r="F263" s="34" t="s">
        <v>301</v>
      </c>
      <c r="G263" s="35">
        <v>1.0497446579465251</v>
      </c>
    </row>
    <row r="264" spans="1:7" x14ac:dyDescent="0.2">
      <c r="A264" s="34" t="s">
        <v>52</v>
      </c>
      <c r="B264" s="34" t="s">
        <v>221</v>
      </c>
      <c r="C264" s="34" t="s">
        <v>65</v>
      </c>
      <c r="D264" s="34" t="s">
        <v>225</v>
      </c>
      <c r="E264" s="32">
        <v>31.5</v>
      </c>
      <c r="F264" s="34" t="s">
        <v>301</v>
      </c>
      <c r="G264" s="35">
        <v>1.8589070818831237</v>
      </c>
    </row>
    <row r="265" spans="1:7" x14ac:dyDescent="0.2">
      <c r="A265" s="34" t="s">
        <v>52</v>
      </c>
      <c r="B265" s="34" t="s">
        <v>221</v>
      </c>
      <c r="C265" s="34" t="s">
        <v>223</v>
      </c>
      <c r="D265" s="34" t="s">
        <v>226</v>
      </c>
      <c r="E265" s="32">
        <v>31.5</v>
      </c>
      <c r="F265" s="34" t="s">
        <v>301</v>
      </c>
      <c r="G265" s="35">
        <v>0.93904572276896847</v>
      </c>
    </row>
    <row r="266" spans="1:7" x14ac:dyDescent="0.2">
      <c r="A266" s="34" t="s">
        <v>75</v>
      </c>
      <c r="B266" s="34" t="s">
        <v>75</v>
      </c>
      <c r="C266" s="34" t="s">
        <v>65</v>
      </c>
      <c r="D266" s="34" t="s">
        <v>233</v>
      </c>
      <c r="E266" s="32">
        <v>34.5</v>
      </c>
      <c r="F266" s="34" t="s">
        <v>301</v>
      </c>
      <c r="G266" s="32">
        <v>1.776886811</v>
      </c>
    </row>
    <row r="267" spans="1:7" x14ac:dyDescent="0.2">
      <c r="A267" s="34" t="s">
        <v>75</v>
      </c>
      <c r="B267" s="34" t="s">
        <v>75</v>
      </c>
      <c r="C267" s="34" t="s">
        <v>65</v>
      </c>
      <c r="D267" s="34" t="s">
        <v>227</v>
      </c>
      <c r="E267" s="32">
        <v>34.5</v>
      </c>
      <c r="F267" s="34" t="s">
        <v>301</v>
      </c>
      <c r="G267" s="32">
        <v>1.7510008859999999</v>
      </c>
    </row>
    <row r="268" spans="1:7" x14ac:dyDescent="0.2">
      <c r="A268" s="34" t="s">
        <v>75</v>
      </c>
      <c r="B268" s="34" t="s">
        <v>75</v>
      </c>
      <c r="C268" s="34" t="s">
        <v>65</v>
      </c>
      <c r="D268" s="34" t="s">
        <v>228</v>
      </c>
      <c r="E268" s="32">
        <v>34.5</v>
      </c>
      <c r="F268" s="34" t="s">
        <v>301</v>
      </c>
      <c r="G268" s="32">
        <v>1.7770790219999999</v>
      </c>
    </row>
    <row r="269" spans="1:7" x14ac:dyDescent="0.2">
      <c r="A269" s="34" t="s">
        <v>75</v>
      </c>
      <c r="B269" s="34" t="s">
        <v>75</v>
      </c>
      <c r="C269" s="34" t="s">
        <v>65</v>
      </c>
      <c r="D269" s="34" t="s">
        <v>229</v>
      </c>
      <c r="E269" s="32">
        <v>34.5</v>
      </c>
      <c r="F269" s="34" t="s">
        <v>301</v>
      </c>
      <c r="G269" s="32">
        <v>1.8501711620000001</v>
      </c>
    </row>
    <row r="270" spans="1:7" x14ac:dyDescent="0.2">
      <c r="A270" s="34" t="s">
        <v>75</v>
      </c>
      <c r="B270" s="34" t="s">
        <v>75</v>
      </c>
      <c r="C270" s="34" t="s">
        <v>65</v>
      </c>
      <c r="D270" s="34" t="s">
        <v>234</v>
      </c>
      <c r="E270" s="32">
        <v>34.5</v>
      </c>
      <c r="F270" s="34" t="s">
        <v>301</v>
      </c>
      <c r="G270" s="32">
        <v>1.7528869490000001</v>
      </c>
    </row>
    <row r="271" spans="1:7" x14ac:dyDescent="0.2">
      <c r="A271" s="34" t="s">
        <v>75</v>
      </c>
      <c r="B271" s="34" t="s">
        <v>75</v>
      </c>
      <c r="C271" s="34" t="s">
        <v>223</v>
      </c>
      <c r="D271" s="34" t="s">
        <v>230</v>
      </c>
      <c r="E271" s="32">
        <v>34.5</v>
      </c>
      <c r="F271" s="34" t="s">
        <v>301</v>
      </c>
      <c r="G271" s="32">
        <v>1.0407794610000001</v>
      </c>
    </row>
    <row r="272" spans="1:7" x14ac:dyDescent="0.2">
      <c r="A272" s="34" t="s">
        <v>75</v>
      </c>
      <c r="B272" s="34" t="s">
        <v>75</v>
      </c>
      <c r="C272" s="34" t="s">
        <v>223</v>
      </c>
      <c r="D272" s="34" t="s">
        <v>231</v>
      </c>
      <c r="E272" s="32">
        <v>34.5</v>
      </c>
      <c r="F272" s="34" t="s">
        <v>301</v>
      </c>
      <c r="G272" s="32">
        <v>1.0009344040000001</v>
      </c>
    </row>
    <row r="273" spans="1:7" x14ac:dyDescent="0.2">
      <c r="A273" s="34" t="s">
        <v>75</v>
      </c>
      <c r="B273" s="34" t="s">
        <v>75</v>
      </c>
      <c r="C273" s="34" t="s">
        <v>223</v>
      </c>
      <c r="D273" s="34" t="s">
        <v>235</v>
      </c>
      <c r="E273" s="32">
        <v>34.5</v>
      </c>
      <c r="F273" s="34" t="s">
        <v>301</v>
      </c>
      <c r="G273" s="32">
        <v>1.297121027</v>
      </c>
    </row>
    <row r="274" spans="1:7" x14ac:dyDescent="0.2">
      <c r="A274" s="34" t="s">
        <v>75</v>
      </c>
      <c r="B274" s="34" t="s">
        <v>75</v>
      </c>
      <c r="C274" s="34" t="s">
        <v>223</v>
      </c>
      <c r="D274" s="34" t="s">
        <v>232</v>
      </c>
      <c r="E274" s="32">
        <v>34.5</v>
      </c>
      <c r="F274" s="34" t="s">
        <v>301</v>
      </c>
      <c r="G274" s="32">
        <v>1.14396875</v>
      </c>
    </row>
    <row r="275" spans="1:7" x14ac:dyDescent="0.2">
      <c r="A275" s="34" t="s">
        <v>75</v>
      </c>
      <c r="B275" s="34" t="s">
        <v>75</v>
      </c>
      <c r="C275" s="34" t="s">
        <v>223</v>
      </c>
      <c r="D275" s="34" t="s">
        <v>236</v>
      </c>
      <c r="E275" s="32">
        <v>34.5</v>
      </c>
      <c r="F275" s="34" t="s">
        <v>301</v>
      </c>
      <c r="G275" s="32">
        <v>0.99330036499999996</v>
      </c>
    </row>
    <row r="276" spans="1:7" x14ac:dyDescent="0.2">
      <c r="A276" s="34" t="s">
        <v>75</v>
      </c>
      <c r="B276" s="34" t="s">
        <v>221</v>
      </c>
      <c r="C276" s="34" t="s">
        <v>65</v>
      </c>
      <c r="D276" s="34" t="s">
        <v>222</v>
      </c>
      <c r="E276" s="32">
        <v>34.5</v>
      </c>
      <c r="F276" s="34" t="s">
        <v>301</v>
      </c>
      <c r="G276" s="32">
        <v>1.688378596</v>
      </c>
    </row>
    <row r="277" spans="1:7" x14ac:dyDescent="0.2">
      <c r="A277" s="34" t="s">
        <v>75</v>
      </c>
      <c r="B277" s="34" t="s">
        <v>221</v>
      </c>
      <c r="C277" s="34" t="s">
        <v>223</v>
      </c>
      <c r="D277" s="34" t="s">
        <v>224</v>
      </c>
      <c r="E277" s="32">
        <v>34.5</v>
      </c>
      <c r="F277" s="34" t="s">
        <v>301</v>
      </c>
      <c r="G277" s="32">
        <v>0.88505210700000003</v>
      </c>
    </row>
    <row r="278" spans="1:7" x14ac:dyDescent="0.2">
      <c r="A278" s="34" t="s">
        <v>52</v>
      </c>
      <c r="B278" s="34" t="s">
        <v>52</v>
      </c>
      <c r="C278" s="34" t="s">
        <v>65</v>
      </c>
      <c r="D278" s="34" t="s">
        <v>237</v>
      </c>
      <c r="E278" s="32">
        <v>34.5</v>
      </c>
      <c r="F278" s="34" t="s">
        <v>301</v>
      </c>
      <c r="G278" s="35">
        <v>1.88888984925153</v>
      </c>
    </row>
    <row r="279" spans="1:7" x14ac:dyDescent="0.2">
      <c r="A279" s="34" t="s">
        <v>52</v>
      </c>
      <c r="B279" s="34" t="s">
        <v>52</v>
      </c>
      <c r="C279" s="34" t="s">
        <v>65</v>
      </c>
      <c r="D279" s="34" t="s">
        <v>238</v>
      </c>
      <c r="E279" s="32">
        <v>34.5</v>
      </c>
      <c r="F279" s="34" t="s">
        <v>301</v>
      </c>
      <c r="G279" s="35">
        <v>1.8845083723482239</v>
      </c>
    </row>
    <row r="280" spans="1:7" x14ac:dyDescent="0.2">
      <c r="A280" s="34" t="s">
        <v>52</v>
      </c>
      <c r="B280" s="34" t="s">
        <v>52</v>
      </c>
      <c r="C280" s="34" t="s">
        <v>65</v>
      </c>
      <c r="D280" s="34" t="s">
        <v>239</v>
      </c>
      <c r="E280" s="32">
        <v>34.5</v>
      </c>
      <c r="F280" s="34" t="s">
        <v>301</v>
      </c>
      <c r="G280" s="35">
        <v>2.0746941151964222</v>
      </c>
    </row>
    <row r="281" spans="1:7" x14ac:dyDescent="0.2">
      <c r="A281" s="34" t="s">
        <v>52</v>
      </c>
      <c r="B281" s="34" t="s">
        <v>52</v>
      </c>
      <c r="C281" s="34" t="s">
        <v>65</v>
      </c>
      <c r="D281" s="34" t="s">
        <v>240</v>
      </c>
      <c r="E281" s="32">
        <v>34.5</v>
      </c>
      <c r="F281" s="34" t="s">
        <v>301</v>
      </c>
      <c r="G281" s="35">
        <v>1.8606770020921559</v>
      </c>
    </row>
    <row r="282" spans="1:7" x14ac:dyDescent="0.2">
      <c r="A282" s="34" t="s">
        <v>52</v>
      </c>
      <c r="B282" s="34" t="s">
        <v>52</v>
      </c>
      <c r="C282" s="34" t="s">
        <v>65</v>
      </c>
      <c r="D282" s="34" t="s">
        <v>245</v>
      </c>
      <c r="E282" s="32">
        <v>34.5</v>
      </c>
      <c r="F282" s="34" t="s">
        <v>301</v>
      </c>
      <c r="G282" s="35">
        <v>1.8275555705518485</v>
      </c>
    </row>
    <row r="283" spans="1:7" x14ac:dyDescent="0.2">
      <c r="A283" s="34" t="s">
        <v>52</v>
      </c>
      <c r="B283" s="34" t="s">
        <v>52</v>
      </c>
      <c r="C283" s="34" t="s">
        <v>223</v>
      </c>
      <c r="D283" s="34" t="s">
        <v>241</v>
      </c>
      <c r="E283" s="32">
        <v>34.5</v>
      </c>
      <c r="F283" s="34" t="s">
        <v>301</v>
      </c>
      <c r="G283" s="35">
        <v>0.33570711719858437</v>
      </c>
    </row>
    <row r="284" spans="1:7" x14ac:dyDescent="0.2">
      <c r="A284" s="34" t="s">
        <v>52</v>
      </c>
      <c r="B284" s="34" t="s">
        <v>52</v>
      </c>
      <c r="C284" s="34" t="s">
        <v>223</v>
      </c>
      <c r="D284" s="34" t="s">
        <v>246</v>
      </c>
      <c r="E284" s="32">
        <v>34.5</v>
      </c>
      <c r="F284" s="34" t="s">
        <v>301</v>
      </c>
      <c r="G284" s="35">
        <v>0.31355597333809043</v>
      </c>
    </row>
    <row r="285" spans="1:7" x14ac:dyDescent="0.2">
      <c r="A285" s="34" t="s">
        <v>52</v>
      </c>
      <c r="B285" s="34" t="s">
        <v>52</v>
      </c>
      <c r="C285" s="34" t="s">
        <v>223</v>
      </c>
      <c r="D285" s="34" t="s">
        <v>242</v>
      </c>
      <c r="E285" s="32">
        <v>34.5</v>
      </c>
      <c r="F285" s="34" t="s">
        <v>301</v>
      </c>
      <c r="G285" s="35">
        <v>0.33246790650559149</v>
      </c>
    </row>
    <row r="286" spans="1:7" x14ac:dyDescent="0.2">
      <c r="A286" s="34" t="s">
        <v>52</v>
      </c>
      <c r="B286" s="34" t="s">
        <v>52</v>
      </c>
      <c r="C286" s="34" t="s">
        <v>223</v>
      </c>
      <c r="D286" s="34" t="s">
        <v>243</v>
      </c>
      <c r="E286" s="32">
        <v>34.5</v>
      </c>
      <c r="F286" s="34" t="s">
        <v>301</v>
      </c>
      <c r="G286" s="35">
        <v>6.6415058145045627E-2</v>
      </c>
    </row>
    <row r="287" spans="1:7" x14ac:dyDescent="0.2">
      <c r="A287" s="34" t="s">
        <v>52</v>
      </c>
      <c r="B287" s="34" t="s">
        <v>52</v>
      </c>
      <c r="C287" s="34" t="s">
        <v>223</v>
      </c>
      <c r="D287" s="34" t="s">
        <v>244</v>
      </c>
      <c r="E287" s="32">
        <v>34.5</v>
      </c>
      <c r="F287" s="34" t="s">
        <v>301</v>
      </c>
      <c r="G287" s="35">
        <v>0.74240782179796649</v>
      </c>
    </row>
    <row r="288" spans="1:7" x14ac:dyDescent="0.2">
      <c r="A288" s="34" t="s">
        <v>52</v>
      </c>
      <c r="B288" s="34" t="s">
        <v>221</v>
      </c>
      <c r="C288" s="34" t="s">
        <v>65</v>
      </c>
      <c r="D288" s="34" t="s">
        <v>225</v>
      </c>
      <c r="E288" s="32">
        <v>34.5</v>
      </c>
      <c r="F288" s="34" t="s">
        <v>301</v>
      </c>
      <c r="G288" s="35">
        <v>1.9532467687335728</v>
      </c>
    </row>
    <row r="289" spans="1:7" x14ac:dyDescent="0.2">
      <c r="A289" s="34" t="s">
        <v>52</v>
      </c>
      <c r="B289" s="34" t="s">
        <v>221</v>
      </c>
      <c r="C289" s="34" t="s">
        <v>223</v>
      </c>
      <c r="D289" s="34" t="s">
        <v>226</v>
      </c>
      <c r="E289" s="32">
        <v>34.5</v>
      </c>
      <c r="F289" s="34" t="s">
        <v>301</v>
      </c>
      <c r="G289" s="35">
        <v>0.91424961880952405</v>
      </c>
    </row>
    <row r="290" spans="1:7" x14ac:dyDescent="0.2">
      <c r="A290" s="34" t="s">
        <v>75</v>
      </c>
      <c r="B290" s="34" t="s">
        <v>75</v>
      </c>
      <c r="C290" s="34" t="s">
        <v>65</v>
      </c>
      <c r="D290" s="34" t="s">
        <v>233</v>
      </c>
      <c r="E290" s="32">
        <v>37.5</v>
      </c>
      <c r="F290" s="34" t="s">
        <v>301</v>
      </c>
      <c r="G290" s="32">
        <v>1.712426811</v>
      </c>
    </row>
    <row r="291" spans="1:7" x14ac:dyDescent="0.2">
      <c r="A291" s="34" t="s">
        <v>75</v>
      </c>
      <c r="B291" s="34" t="s">
        <v>75</v>
      </c>
      <c r="C291" s="34" t="s">
        <v>65</v>
      </c>
      <c r="D291" s="34" t="s">
        <v>227</v>
      </c>
      <c r="E291" s="32">
        <v>37.5</v>
      </c>
      <c r="F291" s="34" t="s">
        <v>301</v>
      </c>
      <c r="G291" s="32">
        <v>1.702668031</v>
      </c>
    </row>
    <row r="292" spans="1:7" x14ac:dyDescent="0.2">
      <c r="A292" s="34" t="s">
        <v>75</v>
      </c>
      <c r="B292" s="34" t="s">
        <v>75</v>
      </c>
      <c r="C292" s="34" t="s">
        <v>65</v>
      </c>
      <c r="D292" s="34" t="s">
        <v>228</v>
      </c>
      <c r="E292" s="32">
        <v>37.5</v>
      </c>
      <c r="F292" s="34" t="s">
        <v>301</v>
      </c>
      <c r="G292" s="32">
        <v>1.7304470750000001</v>
      </c>
    </row>
    <row r="293" spans="1:7" x14ac:dyDescent="0.2">
      <c r="A293" s="34" t="s">
        <v>75</v>
      </c>
      <c r="B293" s="34" t="s">
        <v>75</v>
      </c>
      <c r="C293" s="34" t="s">
        <v>65</v>
      </c>
      <c r="D293" s="34" t="s">
        <v>229</v>
      </c>
      <c r="E293" s="32">
        <v>37.5</v>
      </c>
      <c r="F293" s="34" t="s">
        <v>301</v>
      </c>
      <c r="G293" s="32">
        <v>1.7650032980000001</v>
      </c>
    </row>
    <row r="294" spans="1:7" x14ac:dyDescent="0.2">
      <c r="A294" s="34" t="s">
        <v>75</v>
      </c>
      <c r="B294" s="34" t="s">
        <v>75</v>
      </c>
      <c r="C294" s="34" t="s">
        <v>65</v>
      </c>
      <c r="D294" s="34" t="s">
        <v>234</v>
      </c>
      <c r="E294" s="32">
        <v>37.5</v>
      </c>
      <c r="F294" s="34" t="s">
        <v>301</v>
      </c>
      <c r="G294" s="32">
        <v>1.698758757</v>
      </c>
    </row>
    <row r="295" spans="1:7" x14ac:dyDescent="0.2">
      <c r="A295" s="34" t="s">
        <v>75</v>
      </c>
      <c r="B295" s="34" t="s">
        <v>75</v>
      </c>
      <c r="C295" s="34" t="s">
        <v>223</v>
      </c>
      <c r="D295" s="34" t="s">
        <v>230</v>
      </c>
      <c r="E295" s="32">
        <v>37.5</v>
      </c>
      <c r="F295" s="34" t="s">
        <v>301</v>
      </c>
      <c r="G295" s="32">
        <v>0.98021330100000004</v>
      </c>
    </row>
    <row r="296" spans="1:7" x14ac:dyDescent="0.2">
      <c r="A296" s="34" t="s">
        <v>75</v>
      </c>
      <c r="B296" s="34" t="s">
        <v>75</v>
      </c>
      <c r="C296" s="34" t="s">
        <v>223</v>
      </c>
      <c r="D296" s="34" t="s">
        <v>231</v>
      </c>
      <c r="E296" s="32">
        <v>37.5</v>
      </c>
      <c r="F296" s="34" t="s">
        <v>301</v>
      </c>
      <c r="G296" s="32">
        <v>1.04465002</v>
      </c>
    </row>
    <row r="297" spans="1:7" x14ac:dyDescent="0.2">
      <c r="A297" s="34" t="s">
        <v>75</v>
      </c>
      <c r="B297" s="34" t="s">
        <v>75</v>
      </c>
      <c r="C297" s="34" t="s">
        <v>223</v>
      </c>
      <c r="D297" s="34" t="s">
        <v>235</v>
      </c>
      <c r="E297" s="32">
        <v>37.5</v>
      </c>
      <c r="F297" s="34" t="s">
        <v>301</v>
      </c>
      <c r="G297" s="32">
        <v>1.1822481490000001</v>
      </c>
    </row>
    <row r="298" spans="1:7" x14ac:dyDescent="0.2">
      <c r="A298" s="34" t="s">
        <v>75</v>
      </c>
      <c r="B298" s="34" t="s">
        <v>75</v>
      </c>
      <c r="C298" s="34" t="s">
        <v>223</v>
      </c>
      <c r="D298" s="34" t="s">
        <v>232</v>
      </c>
      <c r="E298" s="32">
        <v>37.5</v>
      </c>
      <c r="F298" s="34" t="s">
        <v>301</v>
      </c>
      <c r="G298" s="32">
        <v>0.96814366900000004</v>
      </c>
    </row>
    <row r="299" spans="1:7" x14ac:dyDescent="0.2">
      <c r="A299" s="34" t="s">
        <v>75</v>
      </c>
      <c r="B299" s="34" t="s">
        <v>75</v>
      </c>
      <c r="C299" s="34" t="s">
        <v>223</v>
      </c>
      <c r="D299" s="34" t="s">
        <v>236</v>
      </c>
      <c r="E299" s="32">
        <v>37.5</v>
      </c>
      <c r="F299" s="34" t="s">
        <v>301</v>
      </c>
      <c r="G299" s="32">
        <v>0.82696862199999999</v>
      </c>
    </row>
    <row r="300" spans="1:7" x14ac:dyDescent="0.2">
      <c r="A300" s="34" t="s">
        <v>75</v>
      </c>
      <c r="B300" s="34" t="s">
        <v>221</v>
      </c>
      <c r="C300" s="34" t="s">
        <v>65</v>
      </c>
      <c r="D300" s="34" t="s">
        <v>222</v>
      </c>
      <c r="E300" s="32">
        <v>37.5</v>
      </c>
      <c r="F300" s="34" t="s">
        <v>301</v>
      </c>
      <c r="G300" s="32">
        <v>1.504909491</v>
      </c>
    </row>
    <row r="301" spans="1:7" x14ac:dyDescent="0.2">
      <c r="A301" s="34" t="s">
        <v>75</v>
      </c>
      <c r="B301" s="34" t="s">
        <v>221</v>
      </c>
      <c r="C301" s="34" t="s">
        <v>223</v>
      </c>
      <c r="D301" s="34" t="s">
        <v>224</v>
      </c>
      <c r="E301" s="32">
        <v>37.5</v>
      </c>
      <c r="F301" s="34" t="s">
        <v>301</v>
      </c>
      <c r="G301" s="32">
        <v>0.77674843800000004</v>
      </c>
    </row>
    <row r="302" spans="1:7" x14ac:dyDescent="0.2">
      <c r="A302" s="34" t="s">
        <v>52</v>
      </c>
      <c r="B302" s="34" t="s">
        <v>52</v>
      </c>
      <c r="C302" s="34" t="s">
        <v>65</v>
      </c>
      <c r="D302" s="34" t="s">
        <v>237</v>
      </c>
      <c r="E302" s="32">
        <v>37.5</v>
      </c>
      <c r="F302" s="34" t="s">
        <v>301</v>
      </c>
      <c r="G302" s="35">
        <v>1.8148420951604678</v>
      </c>
    </row>
    <row r="303" spans="1:7" x14ac:dyDescent="0.2">
      <c r="A303" s="34" t="s">
        <v>52</v>
      </c>
      <c r="B303" s="34" t="s">
        <v>52</v>
      </c>
      <c r="C303" s="34" t="s">
        <v>65</v>
      </c>
      <c r="D303" s="34" t="s">
        <v>238</v>
      </c>
      <c r="E303" s="32">
        <v>37.5</v>
      </c>
      <c r="F303" s="34" t="s">
        <v>301</v>
      </c>
      <c r="G303" s="35">
        <v>1.8012351233260235</v>
      </c>
    </row>
    <row r="304" spans="1:7" x14ac:dyDescent="0.2">
      <c r="A304" s="34" t="s">
        <v>52</v>
      </c>
      <c r="B304" s="34" t="s">
        <v>52</v>
      </c>
      <c r="C304" s="34" t="s">
        <v>65</v>
      </c>
      <c r="D304" s="34" t="s">
        <v>239</v>
      </c>
      <c r="E304" s="32">
        <v>37.5</v>
      </c>
      <c r="F304" s="34" t="s">
        <v>301</v>
      </c>
      <c r="G304" s="35">
        <v>1.8711763525827181</v>
      </c>
    </row>
    <row r="305" spans="1:7" x14ac:dyDescent="0.2">
      <c r="A305" s="34" t="s">
        <v>52</v>
      </c>
      <c r="B305" s="34" t="s">
        <v>52</v>
      </c>
      <c r="C305" s="34" t="s">
        <v>65</v>
      </c>
      <c r="D305" s="34" t="s">
        <v>240</v>
      </c>
      <c r="E305" s="32">
        <v>37.5</v>
      </c>
      <c r="F305" s="34" t="s">
        <v>301</v>
      </c>
      <c r="G305" s="35">
        <v>1.8815092994870053</v>
      </c>
    </row>
    <row r="306" spans="1:7" x14ac:dyDescent="0.2">
      <c r="A306" s="34" t="s">
        <v>52</v>
      </c>
      <c r="B306" s="34" t="s">
        <v>52</v>
      </c>
      <c r="C306" s="34" t="s">
        <v>65</v>
      </c>
      <c r="D306" s="34" t="s">
        <v>245</v>
      </c>
      <c r="E306" s="32">
        <v>37.5</v>
      </c>
      <c r="F306" s="34" t="s">
        <v>301</v>
      </c>
      <c r="G306" s="35">
        <v>1.9143400825332868</v>
      </c>
    </row>
    <row r="307" spans="1:7" x14ac:dyDescent="0.2">
      <c r="A307" s="34" t="s">
        <v>52</v>
      </c>
      <c r="B307" s="34" t="s">
        <v>52</v>
      </c>
      <c r="C307" s="34" t="s">
        <v>223</v>
      </c>
      <c r="D307" s="34" t="s">
        <v>241</v>
      </c>
      <c r="E307" s="32">
        <v>37.5</v>
      </c>
      <c r="F307" s="34" t="s">
        <v>301</v>
      </c>
      <c r="G307" s="35">
        <v>1.321814443765392</v>
      </c>
    </row>
    <row r="308" spans="1:7" x14ac:dyDescent="0.2">
      <c r="A308" s="34" t="s">
        <v>52</v>
      </c>
      <c r="B308" s="34" t="s">
        <v>52</v>
      </c>
      <c r="C308" s="34" t="s">
        <v>223</v>
      </c>
      <c r="D308" s="34" t="s">
        <v>246</v>
      </c>
      <c r="E308" s="32">
        <v>37.5</v>
      </c>
      <c r="F308" s="34" t="s">
        <v>301</v>
      </c>
      <c r="G308" s="35">
        <v>1.4206938211735372</v>
      </c>
    </row>
    <row r="309" spans="1:7" x14ac:dyDescent="0.2">
      <c r="A309" s="34" t="s">
        <v>52</v>
      </c>
      <c r="B309" s="34" t="s">
        <v>52</v>
      </c>
      <c r="C309" s="34" t="s">
        <v>223</v>
      </c>
      <c r="D309" s="34" t="s">
        <v>242</v>
      </c>
      <c r="E309" s="32">
        <v>37.5</v>
      </c>
      <c r="F309" s="34" t="s">
        <v>301</v>
      </c>
      <c r="G309" s="35">
        <v>1.1839191866711161</v>
      </c>
    </row>
    <row r="310" spans="1:7" x14ac:dyDescent="0.2">
      <c r="A310" s="34" t="s">
        <v>52</v>
      </c>
      <c r="B310" s="34" t="s">
        <v>52</v>
      </c>
      <c r="C310" s="34" t="s">
        <v>223</v>
      </c>
      <c r="D310" s="34" t="s">
        <v>243</v>
      </c>
      <c r="E310" s="32">
        <v>37.5</v>
      </c>
      <c r="F310" s="34" t="s">
        <v>301</v>
      </c>
      <c r="G310" s="35">
        <v>1.4968081195097731</v>
      </c>
    </row>
    <row r="311" spans="1:7" x14ac:dyDescent="0.2">
      <c r="A311" s="34" t="s">
        <v>52</v>
      </c>
      <c r="B311" s="34" t="s">
        <v>52</v>
      </c>
      <c r="C311" s="34" t="s">
        <v>223</v>
      </c>
      <c r="D311" s="34" t="s">
        <v>244</v>
      </c>
      <c r="E311" s="32">
        <v>37.5</v>
      </c>
      <c r="F311" s="34" t="s">
        <v>301</v>
      </c>
      <c r="G311" s="35">
        <v>1.5720098199256345</v>
      </c>
    </row>
    <row r="312" spans="1:7" x14ac:dyDescent="0.2">
      <c r="A312" s="34" t="s">
        <v>52</v>
      </c>
      <c r="B312" s="34" t="s">
        <v>221</v>
      </c>
      <c r="C312" s="34" t="s">
        <v>65</v>
      </c>
      <c r="D312" s="34" t="s">
        <v>225</v>
      </c>
      <c r="E312" s="32">
        <v>37.5</v>
      </c>
      <c r="F312" s="34" t="s">
        <v>301</v>
      </c>
      <c r="G312" s="35">
        <v>1.8676819270520479</v>
      </c>
    </row>
    <row r="313" spans="1:7" x14ac:dyDescent="0.2">
      <c r="A313" s="34" t="s">
        <v>52</v>
      </c>
      <c r="B313" s="34" t="s">
        <v>221</v>
      </c>
      <c r="C313" s="34" t="s">
        <v>223</v>
      </c>
      <c r="D313" s="34" t="s">
        <v>226</v>
      </c>
      <c r="E313" s="32">
        <v>37.5</v>
      </c>
      <c r="F313" s="34" t="s">
        <v>301</v>
      </c>
      <c r="G313" s="35">
        <v>1.3298282645667874</v>
      </c>
    </row>
    <row r="314" spans="1:7" x14ac:dyDescent="0.2">
      <c r="A314" s="34" t="s">
        <v>75</v>
      </c>
      <c r="B314" s="34" t="s">
        <v>75</v>
      </c>
      <c r="C314" s="34" t="s">
        <v>65</v>
      </c>
      <c r="D314" s="34" t="s">
        <v>233</v>
      </c>
      <c r="E314" s="32">
        <v>40.5</v>
      </c>
      <c r="F314" s="34" t="s">
        <v>301</v>
      </c>
      <c r="G314" s="32">
        <v>1.6947894779999999</v>
      </c>
    </row>
    <row r="315" spans="1:7" x14ac:dyDescent="0.2">
      <c r="A315" s="34" t="s">
        <v>75</v>
      </c>
      <c r="B315" s="34" t="s">
        <v>75</v>
      </c>
      <c r="C315" s="34" t="s">
        <v>65</v>
      </c>
      <c r="D315" s="34" t="s">
        <v>227</v>
      </c>
      <c r="E315" s="32">
        <v>40.5</v>
      </c>
      <c r="F315" s="34" t="s">
        <v>301</v>
      </c>
      <c r="G315" s="32">
        <v>1.6916025889999999</v>
      </c>
    </row>
    <row r="316" spans="1:7" x14ac:dyDescent="0.2">
      <c r="A316" s="34" t="s">
        <v>75</v>
      </c>
      <c r="B316" s="34" t="s">
        <v>75</v>
      </c>
      <c r="C316" s="34" t="s">
        <v>65</v>
      </c>
      <c r="D316" s="34" t="s">
        <v>228</v>
      </c>
      <c r="E316" s="32">
        <v>40.5</v>
      </c>
      <c r="F316" s="34" t="s">
        <v>301</v>
      </c>
      <c r="G316" s="32">
        <v>1.7154258250000001</v>
      </c>
    </row>
    <row r="317" spans="1:7" x14ac:dyDescent="0.2">
      <c r="A317" s="34" t="s">
        <v>75</v>
      </c>
      <c r="B317" s="34" t="s">
        <v>75</v>
      </c>
      <c r="C317" s="34" t="s">
        <v>65</v>
      </c>
      <c r="D317" s="34" t="s">
        <v>229</v>
      </c>
      <c r="E317" s="32">
        <v>40.5</v>
      </c>
      <c r="F317" s="34" t="s">
        <v>301</v>
      </c>
      <c r="G317" s="32">
        <v>1.7368120339999999</v>
      </c>
    </row>
    <row r="318" spans="1:7" x14ac:dyDescent="0.2">
      <c r="A318" s="34" t="s">
        <v>75</v>
      </c>
      <c r="B318" s="34" t="s">
        <v>75</v>
      </c>
      <c r="C318" s="34" t="s">
        <v>65</v>
      </c>
      <c r="D318" s="34" t="s">
        <v>234</v>
      </c>
      <c r="E318" s="32">
        <v>40.5</v>
      </c>
      <c r="F318" s="34" t="s">
        <v>301</v>
      </c>
      <c r="G318" s="32">
        <v>1.845570522</v>
      </c>
    </row>
    <row r="319" spans="1:7" x14ac:dyDescent="0.2">
      <c r="A319" s="34" t="s">
        <v>75</v>
      </c>
      <c r="B319" s="34" t="s">
        <v>75</v>
      </c>
      <c r="C319" s="34" t="s">
        <v>223</v>
      </c>
      <c r="D319" s="34" t="s">
        <v>230</v>
      </c>
      <c r="E319" s="32">
        <v>40.5</v>
      </c>
      <c r="F319" s="34" t="s">
        <v>301</v>
      </c>
      <c r="G319" s="32">
        <v>1.0798861280000001</v>
      </c>
    </row>
    <row r="320" spans="1:7" x14ac:dyDescent="0.2">
      <c r="A320" s="34" t="s">
        <v>75</v>
      </c>
      <c r="B320" s="34" t="s">
        <v>75</v>
      </c>
      <c r="C320" s="34" t="s">
        <v>223</v>
      </c>
      <c r="D320" s="34" t="s">
        <v>231</v>
      </c>
      <c r="E320" s="32">
        <v>40.5</v>
      </c>
      <c r="F320" s="34" t="s">
        <v>301</v>
      </c>
      <c r="G320" s="32">
        <v>1.139815365</v>
      </c>
    </row>
    <row r="321" spans="1:7" x14ac:dyDescent="0.2">
      <c r="A321" s="34" t="s">
        <v>75</v>
      </c>
      <c r="B321" s="34" t="s">
        <v>75</v>
      </c>
      <c r="C321" s="34" t="s">
        <v>223</v>
      </c>
      <c r="D321" s="34" t="s">
        <v>235</v>
      </c>
      <c r="E321" s="32">
        <v>40.5</v>
      </c>
      <c r="F321" s="34" t="s">
        <v>301</v>
      </c>
      <c r="G321" s="32">
        <v>1.3414136940000001</v>
      </c>
    </row>
    <row r="322" spans="1:7" x14ac:dyDescent="0.2">
      <c r="A322" s="34" t="s">
        <v>75</v>
      </c>
      <c r="B322" s="34" t="s">
        <v>75</v>
      </c>
      <c r="C322" s="34" t="s">
        <v>223</v>
      </c>
      <c r="D322" s="34" t="s">
        <v>232</v>
      </c>
      <c r="E322" s="32">
        <v>40.5</v>
      </c>
      <c r="F322" s="34" t="s">
        <v>301</v>
      </c>
      <c r="G322" s="32">
        <v>1.2334238319999999</v>
      </c>
    </row>
    <row r="323" spans="1:7" x14ac:dyDescent="0.2">
      <c r="A323" s="34" t="s">
        <v>75</v>
      </c>
      <c r="B323" s="34" t="s">
        <v>75</v>
      </c>
      <c r="C323" s="34" t="s">
        <v>223</v>
      </c>
      <c r="D323" s="34" t="s">
        <v>236</v>
      </c>
      <c r="E323" s="32">
        <v>40.5</v>
      </c>
      <c r="F323" s="34" t="s">
        <v>301</v>
      </c>
      <c r="G323" s="32">
        <v>1.0024232070000001</v>
      </c>
    </row>
    <row r="324" spans="1:7" x14ac:dyDescent="0.2">
      <c r="A324" s="34" t="s">
        <v>75</v>
      </c>
      <c r="B324" s="34" t="s">
        <v>221</v>
      </c>
      <c r="C324" s="34" t="s">
        <v>65</v>
      </c>
      <c r="D324" s="34" t="s">
        <v>222</v>
      </c>
      <c r="E324" s="32">
        <v>40.5</v>
      </c>
      <c r="F324" s="34" t="s">
        <v>301</v>
      </c>
      <c r="G324" s="32">
        <v>1.6119150719999999</v>
      </c>
    </row>
    <row r="325" spans="1:7" x14ac:dyDescent="0.2">
      <c r="A325" s="34" t="s">
        <v>75</v>
      </c>
      <c r="B325" s="34" t="s">
        <v>221</v>
      </c>
      <c r="C325" s="34" t="s">
        <v>223</v>
      </c>
      <c r="D325" s="34" t="s">
        <v>224</v>
      </c>
      <c r="E325" s="32">
        <v>40.5</v>
      </c>
      <c r="F325" s="34" t="s">
        <v>301</v>
      </c>
      <c r="G325" s="32">
        <v>0.91788135199999998</v>
      </c>
    </row>
    <row r="326" spans="1:7" x14ac:dyDescent="0.2">
      <c r="A326" s="34" t="s">
        <v>52</v>
      </c>
      <c r="B326" s="34" t="s">
        <v>52</v>
      </c>
      <c r="C326" s="34" t="s">
        <v>65</v>
      </c>
      <c r="D326" s="34" t="s">
        <v>237</v>
      </c>
      <c r="E326" s="32">
        <v>40.5</v>
      </c>
      <c r="F326" s="34" t="s">
        <v>301</v>
      </c>
      <c r="G326" s="35">
        <v>1.8470792153305577</v>
      </c>
    </row>
    <row r="327" spans="1:7" x14ac:dyDescent="0.2">
      <c r="A327" s="34" t="s">
        <v>52</v>
      </c>
      <c r="B327" s="34" t="s">
        <v>52</v>
      </c>
      <c r="C327" s="34" t="s">
        <v>65</v>
      </c>
      <c r="D327" s="34" t="s">
        <v>238</v>
      </c>
      <c r="E327" s="32">
        <v>40.5</v>
      </c>
      <c r="F327" s="34" t="s">
        <v>301</v>
      </c>
      <c r="G327" s="35">
        <v>1.8668563825620332</v>
      </c>
    </row>
    <row r="328" spans="1:7" x14ac:dyDescent="0.2">
      <c r="A328" s="34" t="s">
        <v>52</v>
      </c>
      <c r="B328" s="34" t="s">
        <v>52</v>
      </c>
      <c r="C328" s="34" t="s">
        <v>65</v>
      </c>
      <c r="D328" s="34" t="s">
        <v>239</v>
      </c>
      <c r="E328" s="32">
        <v>40.5</v>
      </c>
      <c r="F328" s="34" t="s">
        <v>301</v>
      </c>
      <c r="G328" s="35">
        <v>1.8994357172408147</v>
      </c>
    </row>
    <row r="329" spans="1:7" x14ac:dyDescent="0.2">
      <c r="A329" s="34" t="s">
        <v>52</v>
      </c>
      <c r="B329" s="34" t="s">
        <v>52</v>
      </c>
      <c r="C329" s="34" t="s">
        <v>65</v>
      </c>
      <c r="D329" s="34" t="s">
        <v>240</v>
      </c>
      <c r="E329" s="32">
        <v>40.5</v>
      </c>
      <c r="F329" s="34" t="s">
        <v>301</v>
      </c>
      <c r="G329" s="35">
        <v>1.8757042271920132</v>
      </c>
    </row>
    <row r="330" spans="1:7" x14ac:dyDescent="0.2">
      <c r="A330" s="34" t="s">
        <v>52</v>
      </c>
      <c r="B330" s="34" t="s">
        <v>52</v>
      </c>
      <c r="C330" s="34" t="s">
        <v>65</v>
      </c>
      <c r="D330" s="34" t="s">
        <v>245</v>
      </c>
      <c r="E330" s="32">
        <v>40.5</v>
      </c>
      <c r="F330" s="34" t="s">
        <v>301</v>
      </c>
      <c r="G330" s="35">
        <v>1.8546578583569675</v>
      </c>
    </row>
    <row r="331" spans="1:7" x14ac:dyDescent="0.2">
      <c r="A331" s="34" t="s">
        <v>52</v>
      </c>
      <c r="B331" s="34" t="s">
        <v>52</v>
      </c>
      <c r="C331" s="34" t="s">
        <v>223</v>
      </c>
      <c r="D331" s="34" t="s">
        <v>241</v>
      </c>
      <c r="E331" s="32">
        <v>40.5</v>
      </c>
      <c r="F331" s="34" t="s">
        <v>301</v>
      </c>
      <c r="G331" s="35">
        <v>0.92130864375868959</v>
      </c>
    </row>
    <row r="332" spans="1:7" x14ac:dyDescent="0.2">
      <c r="A332" s="34" t="s">
        <v>52</v>
      </c>
      <c r="B332" s="34" t="s">
        <v>52</v>
      </c>
      <c r="C332" s="34" t="s">
        <v>223</v>
      </c>
      <c r="D332" s="34" t="s">
        <v>246</v>
      </c>
      <c r="E332" s="32">
        <v>40.5</v>
      </c>
      <c r="F332" s="34" t="s">
        <v>301</v>
      </c>
      <c r="G332" s="35">
        <v>0.80732178930343945</v>
      </c>
    </row>
    <row r="333" spans="1:7" x14ac:dyDescent="0.2">
      <c r="A333" s="34" t="s">
        <v>52</v>
      </c>
      <c r="B333" s="34" t="s">
        <v>52</v>
      </c>
      <c r="C333" s="34" t="s">
        <v>223</v>
      </c>
      <c r="D333" s="34" t="s">
        <v>242</v>
      </c>
      <c r="E333" s="32">
        <v>40.5</v>
      </c>
      <c r="F333" s="34" t="s">
        <v>301</v>
      </c>
      <c r="G333" s="35">
        <v>0.66893547190694813</v>
      </c>
    </row>
    <row r="334" spans="1:7" x14ac:dyDescent="0.2">
      <c r="A334" s="34" t="s">
        <v>52</v>
      </c>
      <c r="B334" s="34" t="s">
        <v>52</v>
      </c>
      <c r="C334" s="34" t="s">
        <v>223</v>
      </c>
      <c r="D334" s="34" t="s">
        <v>243</v>
      </c>
      <c r="E334" s="32">
        <v>40.5</v>
      </c>
      <c r="F334" s="34" t="s">
        <v>301</v>
      </c>
      <c r="G334" s="35">
        <v>0.79520521240658593</v>
      </c>
    </row>
    <row r="335" spans="1:7" x14ac:dyDescent="0.2">
      <c r="A335" s="34" t="s">
        <v>52</v>
      </c>
      <c r="B335" s="34" t="s">
        <v>52</v>
      </c>
      <c r="C335" s="34" t="s">
        <v>223</v>
      </c>
      <c r="D335" s="34" t="s">
        <v>244</v>
      </c>
      <c r="E335" s="32">
        <v>40.5</v>
      </c>
      <c r="F335" s="34" t="s">
        <v>301</v>
      </c>
      <c r="G335" s="35">
        <v>0.62413526146208109</v>
      </c>
    </row>
    <row r="336" spans="1:7" x14ac:dyDescent="0.2">
      <c r="A336" s="34" t="s">
        <v>52</v>
      </c>
      <c r="B336" s="34" t="s">
        <v>221</v>
      </c>
      <c r="C336" s="34" t="s">
        <v>65</v>
      </c>
      <c r="D336" s="34" t="s">
        <v>225</v>
      </c>
      <c r="E336" s="32">
        <v>40.5</v>
      </c>
      <c r="F336" s="34" t="s">
        <v>301</v>
      </c>
      <c r="G336" s="35">
        <v>1.8146940818725819</v>
      </c>
    </row>
    <row r="337" spans="1:7" x14ac:dyDescent="0.2">
      <c r="A337" s="34" t="s">
        <v>52</v>
      </c>
      <c r="B337" s="34" t="s">
        <v>221</v>
      </c>
      <c r="C337" s="34" t="s">
        <v>223</v>
      </c>
      <c r="D337" s="34" t="s">
        <v>226</v>
      </c>
      <c r="E337" s="32">
        <v>40.5</v>
      </c>
      <c r="F337" s="34" t="s">
        <v>301</v>
      </c>
      <c r="G337" s="35">
        <v>0.77318719010816361</v>
      </c>
    </row>
    <row r="338" spans="1:7" x14ac:dyDescent="0.2">
      <c r="A338" s="34" t="s">
        <v>75</v>
      </c>
      <c r="B338" s="34" t="s">
        <v>75</v>
      </c>
      <c r="C338" s="34" t="s">
        <v>65</v>
      </c>
      <c r="D338" s="34" t="s">
        <v>233</v>
      </c>
      <c r="E338" s="32">
        <v>0</v>
      </c>
      <c r="F338" s="34" t="s">
        <v>151</v>
      </c>
      <c r="G338" s="35">
        <v>1.5E-3</v>
      </c>
    </row>
    <row r="339" spans="1:7" x14ac:dyDescent="0.2">
      <c r="A339" s="34" t="s">
        <v>75</v>
      </c>
      <c r="B339" s="34" t="s">
        <v>75</v>
      </c>
      <c r="C339" s="34" t="s">
        <v>65</v>
      </c>
      <c r="D339" s="34" t="s">
        <v>227</v>
      </c>
      <c r="E339" s="32">
        <v>0</v>
      </c>
      <c r="F339" s="34" t="s">
        <v>151</v>
      </c>
      <c r="G339" s="35">
        <v>1.5E-3</v>
      </c>
    </row>
    <row r="340" spans="1:7" x14ac:dyDescent="0.2">
      <c r="A340" s="34" t="s">
        <v>75</v>
      </c>
      <c r="B340" s="34" t="s">
        <v>75</v>
      </c>
      <c r="C340" s="34" t="s">
        <v>65</v>
      </c>
      <c r="D340" s="34" t="s">
        <v>228</v>
      </c>
      <c r="E340" s="32">
        <v>0</v>
      </c>
      <c r="F340" s="34" t="s">
        <v>151</v>
      </c>
      <c r="G340" s="35">
        <v>1.5E-3</v>
      </c>
    </row>
    <row r="341" spans="1:7" x14ac:dyDescent="0.2">
      <c r="A341" s="34" t="s">
        <v>75</v>
      </c>
      <c r="B341" s="34" t="s">
        <v>75</v>
      </c>
      <c r="C341" s="34" t="s">
        <v>65</v>
      </c>
      <c r="D341" s="34" t="s">
        <v>229</v>
      </c>
      <c r="E341" s="32">
        <v>0</v>
      </c>
      <c r="F341" s="34" t="s">
        <v>151</v>
      </c>
      <c r="G341" s="35">
        <v>1.5E-3</v>
      </c>
    </row>
    <row r="342" spans="1:7" x14ac:dyDescent="0.2">
      <c r="A342" s="34" t="s">
        <v>75</v>
      </c>
      <c r="B342" s="34" t="s">
        <v>75</v>
      </c>
      <c r="C342" s="34" t="s">
        <v>65</v>
      </c>
      <c r="D342" s="34" t="s">
        <v>234</v>
      </c>
      <c r="E342" s="32">
        <v>0</v>
      </c>
      <c r="F342" s="34" t="s">
        <v>151</v>
      </c>
      <c r="G342" s="35">
        <v>1.5E-3</v>
      </c>
    </row>
    <row r="343" spans="1:7" x14ac:dyDescent="0.2">
      <c r="A343" s="34" t="s">
        <v>75</v>
      </c>
      <c r="B343" s="34" t="s">
        <v>75</v>
      </c>
      <c r="C343" s="34" t="s">
        <v>223</v>
      </c>
      <c r="D343" s="34" t="s">
        <v>230</v>
      </c>
      <c r="E343" s="32">
        <v>0</v>
      </c>
      <c r="F343" s="34" t="s">
        <v>151</v>
      </c>
      <c r="G343" s="35">
        <v>1.5E-3</v>
      </c>
    </row>
    <row r="344" spans="1:7" x14ac:dyDescent="0.2">
      <c r="A344" s="34" t="s">
        <v>75</v>
      </c>
      <c r="B344" s="34" t="s">
        <v>75</v>
      </c>
      <c r="C344" s="34" t="s">
        <v>223</v>
      </c>
      <c r="D344" s="34" t="s">
        <v>231</v>
      </c>
      <c r="E344" s="32">
        <v>0</v>
      </c>
      <c r="F344" s="34" t="s">
        <v>151</v>
      </c>
      <c r="G344" s="35">
        <v>1.5E-3</v>
      </c>
    </row>
    <row r="345" spans="1:7" x14ac:dyDescent="0.2">
      <c r="A345" s="34" t="s">
        <v>75</v>
      </c>
      <c r="B345" s="34" t="s">
        <v>75</v>
      </c>
      <c r="C345" s="34" t="s">
        <v>223</v>
      </c>
      <c r="D345" s="34" t="s">
        <v>235</v>
      </c>
      <c r="E345" s="32">
        <v>0</v>
      </c>
      <c r="F345" s="34" t="s">
        <v>151</v>
      </c>
      <c r="G345" s="35">
        <v>1.5E-3</v>
      </c>
    </row>
    <row r="346" spans="1:7" x14ac:dyDescent="0.2">
      <c r="A346" s="34" t="s">
        <v>75</v>
      </c>
      <c r="B346" s="34" t="s">
        <v>75</v>
      </c>
      <c r="C346" s="34" t="s">
        <v>223</v>
      </c>
      <c r="D346" s="34" t="s">
        <v>232</v>
      </c>
      <c r="E346" s="32">
        <v>0</v>
      </c>
      <c r="F346" s="34" t="s">
        <v>151</v>
      </c>
      <c r="G346" s="35">
        <v>1.5E-3</v>
      </c>
    </row>
    <row r="347" spans="1:7" x14ac:dyDescent="0.2">
      <c r="A347" s="34" t="s">
        <v>75</v>
      </c>
      <c r="B347" s="34" t="s">
        <v>75</v>
      </c>
      <c r="C347" s="34" t="s">
        <v>223</v>
      </c>
      <c r="D347" s="34" t="s">
        <v>236</v>
      </c>
      <c r="E347" s="32">
        <v>0</v>
      </c>
      <c r="F347" s="34" t="s">
        <v>151</v>
      </c>
      <c r="G347" s="35">
        <v>1.5E-3</v>
      </c>
    </row>
    <row r="348" spans="1:7" x14ac:dyDescent="0.2">
      <c r="A348" s="34" t="s">
        <v>75</v>
      </c>
      <c r="B348" s="34" t="s">
        <v>221</v>
      </c>
      <c r="C348" s="34" t="s">
        <v>65</v>
      </c>
      <c r="D348" s="34" t="s">
        <v>222</v>
      </c>
      <c r="E348" s="32">
        <v>0</v>
      </c>
      <c r="F348" s="34" t="s">
        <v>151</v>
      </c>
      <c r="G348" s="35">
        <v>1.5E-3</v>
      </c>
    </row>
    <row r="349" spans="1:7" x14ac:dyDescent="0.2">
      <c r="A349" s="34" t="s">
        <v>75</v>
      </c>
      <c r="B349" s="34" t="s">
        <v>221</v>
      </c>
      <c r="C349" s="34" t="s">
        <v>223</v>
      </c>
      <c r="D349" s="34" t="s">
        <v>224</v>
      </c>
      <c r="E349" s="32">
        <v>0</v>
      </c>
      <c r="F349" s="34" t="s">
        <v>151</v>
      </c>
      <c r="G349" s="35">
        <v>1.5E-3</v>
      </c>
    </row>
    <row r="350" spans="1:7" x14ac:dyDescent="0.2">
      <c r="A350" s="34" t="s">
        <v>52</v>
      </c>
      <c r="B350" s="34" t="s">
        <v>52</v>
      </c>
      <c r="C350" s="34" t="s">
        <v>65</v>
      </c>
      <c r="D350" s="34" t="s">
        <v>237</v>
      </c>
      <c r="E350" s="32">
        <v>0</v>
      </c>
      <c r="F350" s="34" t="s">
        <v>151</v>
      </c>
      <c r="G350" s="35">
        <v>1.5E-3</v>
      </c>
    </row>
    <row r="351" spans="1:7" x14ac:dyDescent="0.2">
      <c r="A351" s="34" t="s">
        <v>52</v>
      </c>
      <c r="B351" s="34" t="s">
        <v>52</v>
      </c>
      <c r="C351" s="34" t="s">
        <v>65</v>
      </c>
      <c r="D351" s="34" t="s">
        <v>238</v>
      </c>
      <c r="E351" s="32">
        <v>0</v>
      </c>
      <c r="F351" s="34" t="s">
        <v>151</v>
      </c>
      <c r="G351" s="35">
        <v>1.5E-3</v>
      </c>
    </row>
    <row r="352" spans="1:7" x14ac:dyDescent="0.2">
      <c r="A352" s="34" t="s">
        <v>52</v>
      </c>
      <c r="B352" s="34" t="s">
        <v>52</v>
      </c>
      <c r="C352" s="34" t="s">
        <v>65</v>
      </c>
      <c r="D352" s="34" t="s">
        <v>239</v>
      </c>
      <c r="E352" s="32">
        <v>0</v>
      </c>
      <c r="F352" s="34" t="s">
        <v>151</v>
      </c>
      <c r="G352" s="35">
        <v>1.5E-3</v>
      </c>
    </row>
    <row r="353" spans="1:7" x14ac:dyDescent="0.2">
      <c r="A353" s="34" t="s">
        <v>52</v>
      </c>
      <c r="B353" s="34" t="s">
        <v>52</v>
      </c>
      <c r="C353" s="34" t="s">
        <v>65</v>
      </c>
      <c r="D353" s="34" t="s">
        <v>240</v>
      </c>
      <c r="E353" s="32">
        <v>0</v>
      </c>
      <c r="F353" s="34" t="s">
        <v>151</v>
      </c>
      <c r="G353" s="35">
        <v>1.5E-3</v>
      </c>
    </row>
    <row r="354" spans="1:7" x14ac:dyDescent="0.2">
      <c r="A354" s="34" t="s">
        <v>52</v>
      </c>
      <c r="B354" s="34" t="s">
        <v>52</v>
      </c>
      <c r="C354" s="34" t="s">
        <v>65</v>
      </c>
      <c r="D354" s="34" t="s">
        <v>245</v>
      </c>
      <c r="E354" s="32">
        <v>0</v>
      </c>
      <c r="F354" s="34" t="s">
        <v>151</v>
      </c>
      <c r="G354" s="35">
        <v>1.5E-3</v>
      </c>
    </row>
    <row r="355" spans="1:7" x14ac:dyDescent="0.2">
      <c r="A355" s="34" t="s">
        <v>52</v>
      </c>
      <c r="B355" s="34" t="s">
        <v>52</v>
      </c>
      <c r="C355" s="34" t="s">
        <v>223</v>
      </c>
      <c r="D355" s="34" t="s">
        <v>241</v>
      </c>
      <c r="E355" s="32">
        <v>0</v>
      </c>
      <c r="F355" s="34" t="s">
        <v>151</v>
      </c>
      <c r="G355" s="35">
        <v>3.0000000000000001E-3</v>
      </c>
    </row>
    <row r="356" spans="1:7" x14ac:dyDescent="0.2">
      <c r="A356" s="34" t="s">
        <v>52</v>
      </c>
      <c r="B356" s="34" t="s">
        <v>52</v>
      </c>
      <c r="C356" s="34" t="s">
        <v>223</v>
      </c>
      <c r="D356" s="34" t="s">
        <v>246</v>
      </c>
      <c r="E356" s="32">
        <v>0</v>
      </c>
      <c r="F356" s="34" t="s">
        <v>151</v>
      </c>
      <c r="G356" s="35">
        <v>3.0000000000000001E-3</v>
      </c>
    </row>
    <row r="357" spans="1:7" x14ac:dyDescent="0.2">
      <c r="A357" s="34" t="s">
        <v>52</v>
      </c>
      <c r="B357" s="34" t="s">
        <v>52</v>
      </c>
      <c r="C357" s="34" t="s">
        <v>223</v>
      </c>
      <c r="D357" s="34" t="s">
        <v>242</v>
      </c>
      <c r="E357" s="32">
        <v>0</v>
      </c>
      <c r="F357" s="34" t="s">
        <v>151</v>
      </c>
      <c r="G357" s="35">
        <v>3.0000000000000001E-3</v>
      </c>
    </row>
    <row r="358" spans="1:7" x14ac:dyDescent="0.2">
      <c r="A358" s="34" t="s">
        <v>52</v>
      </c>
      <c r="B358" s="34" t="s">
        <v>52</v>
      </c>
      <c r="C358" s="34" t="s">
        <v>223</v>
      </c>
      <c r="D358" s="34" t="s">
        <v>243</v>
      </c>
      <c r="E358" s="32">
        <v>0</v>
      </c>
      <c r="F358" s="34" t="s">
        <v>151</v>
      </c>
      <c r="G358" s="35">
        <v>3.0000000000000001E-3</v>
      </c>
    </row>
    <row r="359" spans="1:7" x14ac:dyDescent="0.2">
      <c r="A359" s="34" t="s">
        <v>52</v>
      </c>
      <c r="B359" s="34" t="s">
        <v>52</v>
      </c>
      <c r="C359" s="34" t="s">
        <v>223</v>
      </c>
      <c r="D359" s="34" t="s">
        <v>244</v>
      </c>
      <c r="E359" s="32">
        <v>0</v>
      </c>
      <c r="F359" s="34" t="s">
        <v>151</v>
      </c>
      <c r="G359" s="35">
        <v>3.0000000000000001E-3</v>
      </c>
    </row>
    <row r="360" spans="1:7" x14ac:dyDescent="0.2">
      <c r="A360" s="34" t="s">
        <v>52</v>
      </c>
      <c r="B360" s="34" t="s">
        <v>221</v>
      </c>
      <c r="C360" s="34" t="s">
        <v>65</v>
      </c>
      <c r="D360" s="34" t="s">
        <v>225</v>
      </c>
      <c r="E360" s="32">
        <v>0</v>
      </c>
      <c r="F360" s="34" t="s">
        <v>151</v>
      </c>
      <c r="G360" s="35">
        <v>1.5E-3</v>
      </c>
    </row>
    <row r="361" spans="1:7" x14ac:dyDescent="0.2">
      <c r="A361" s="34" t="s">
        <v>52</v>
      </c>
      <c r="B361" s="34" t="s">
        <v>221</v>
      </c>
      <c r="C361" s="34" t="s">
        <v>223</v>
      </c>
      <c r="D361" s="34" t="s">
        <v>226</v>
      </c>
      <c r="E361" s="32">
        <v>0</v>
      </c>
      <c r="F361" s="34" t="s">
        <v>151</v>
      </c>
      <c r="G361" s="35">
        <v>3.0000000000000001E-3</v>
      </c>
    </row>
    <row r="362" spans="1:7" x14ac:dyDescent="0.2">
      <c r="A362" s="34" t="s">
        <v>75</v>
      </c>
      <c r="B362" s="34" t="s">
        <v>75</v>
      </c>
      <c r="C362" s="34" t="s">
        <v>65</v>
      </c>
      <c r="D362" s="34" t="s">
        <v>233</v>
      </c>
      <c r="E362" s="32">
        <v>1</v>
      </c>
      <c r="F362" s="34" t="s">
        <v>151</v>
      </c>
      <c r="G362" s="32">
        <v>7.7703460653333325E-3</v>
      </c>
    </row>
    <row r="363" spans="1:7" x14ac:dyDescent="0.2">
      <c r="A363" s="34" t="s">
        <v>75</v>
      </c>
      <c r="B363" s="34" t="s">
        <v>75</v>
      </c>
      <c r="C363" s="34" t="s">
        <v>65</v>
      </c>
      <c r="D363" s="34" t="s">
        <v>227</v>
      </c>
      <c r="E363" s="32">
        <v>1</v>
      </c>
      <c r="F363" s="34" t="s">
        <v>151</v>
      </c>
      <c r="G363" s="32">
        <v>5.4444212653333339E-3</v>
      </c>
    </row>
    <row r="364" spans="1:7" x14ac:dyDescent="0.2">
      <c r="A364" s="34" t="s">
        <v>75</v>
      </c>
      <c r="B364" s="34" t="s">
        <v>75</v>
      </c>
      <c r="C364" s="34" t="s">
        <v>65</v>
      </c>
      <c r="D364" s="34" t="s">
        <v>228</v>
      </c>
      <c r="E364" s="32">
        <v>1</v>
      </c>
      <c r="F364" s="34" t="s">
        <v>151</v>
      </c>
      <c r="G364" s="32">
        <v>6.3201760653333319E-3</v>
      </c>
    </row>
    <row r="365" spans="1:7" x14ac:dyDescent="0.2">
      <c r="A365" s="34" t="s">
        <v>75</v>
      </c>
      <c r="B365" s="34" t="s">
        <v>75</v>
      </c>
      <c r="C365" s="34" t="s">
        <v>65</v>
      </c>
      <c r="D365" s="34" t="s">
        <v>229</v>
      </c>
      <c r="E365" s="32">
        <v>1</v>
      </c>
      <c r="F365" s="34" t="s">
        <v>151</v>
      </c>
      <c r="G365" s="32">
        <v>6.9162156653333291E-3</v>
      </c>
    </row>
    <row r="366" spans="1:7" x14ac:dyDescent="0.2">
      <c r="A366" s="34" t="s">
        <v>75</v>
      </c>
      <c r="B366" s="34" t="s">
        <v>75</v>
      </c>
      <c r="C366" s="34" t="s">
        <v>65</v>
      </c>
      <c r="D366" s="34" t="s">
        <v>234</v>
      </c>
      <c r="E366" s="32">
        <v>1</v>
      </c>
      <c r="F366" s="34" t="s">
        <v>151</v>
      </c>
      <c r="G366" s="32">
        <v>6.541605265333335E-3</v>
      </c>
    </row>
    <row r="367" spans="1:7" x14ac:dyDescent="0.2">
      <c r="A367" s="34" t="s">
        <v>75</v>
      </c>
      <c r="B367" s="34" t="s">
        <v>75</v>
      </c>
      <c r="C367" s="34" t="s">
        <v>223</v>
      </c>
      <c r="D367" s="34" t="s">
        <v>230</v>
      </c>
      <c r="E367" s="32">
        <v>1</v>
      </c>
      <c r="F367" s="34" t="s">
        <v>151</v>
      </c>
      <c r="G367" s="32">
        <v>9.4295566533333496E-4</v>
      </c>
    </row>
    <row r="368" spans="1:7" x14ac:dyDescent="0.2">
      <c r="A368" s="34" t="s">
        <v>75</v>
      </c>
      <c r="B368" s="34" t="s">
        <v>75</v>
      </c>
      <c r="C368" s="34" t="s">
        <v>223</v>
      </c>
      <c r="D368" s="34" t="s">
        <v>231</v>
      </c>
      <c r="E368" s="32">
        <v>1</v>
      </c>
      <c r="F368" s="34" t="s">
        <v>151</v>
      </c>
      <c r="G368" s="32">
        <v>1.3855388653333332E-3</v>
      </c>
    </row>
    <row r="369" spans="1:7" x14ac:dyDescent="0.2">
      <c r="A369" s="34" t="s">
        <v>75</v>
      </c>
      <c r="B369" s="34" t="s">
        <v>75</v>
      </c>
      <c r="C369" s="34" t="s">
        <v>223</v>
      </c>
      <c r="D369" s="34" t="s">
        <v>235</v>
      </c>
      <c r="E369" s="32">
        <v>1</v>
      </c>
      <c r="F369" s="34" t="s">
        <v>151</v>
      </c>
      <c r="G369" s="32">
        <v>1.2971975653333341E-3</v>
      </c>
    </row>
    <row r="370" spans="1:7" x14ac:dyDescent="0.2">
      <c r="A370" s="34" t="s">
        <v>75</v>
      </c>
      <c r="B370" s="34" t="s">
        <v>75</v>
      </c>
      <c r="C370" s="34" t="s">
        <v>223</v>
      </c>
      <c r="D370" s="34" t="s">
        <v>232</v>
      </c>
      <c r="E370" s="32">
        <v>1</v>
      </c>
      <c r="F370" s="34" t="s">
        <v>151</v>
      </c>
      <c r="G370" s="32">
        <v>1.8171724653333341E-3</v>
      </c>
    </row>
    <row r="371" spans="1:7" x14ac:dyDescent="0.2">
      <c r="A371" s="34" t="s">
        <v>75</v>
      </c>
      <c r="B371" s="34" t="s">
        <v>75</v>
      </c>
      <c r="C371" s="34" t="s">
        <v>223</v>
      </c>
      <c r="D371" s="34" t="s">
        <v>236</v>
      </c>
      <c r="E371" s="32">
        <v>1</v>
      </c>
      <c r="F371" s="34" t="s">
        <v>151</v>
      </c>
      <c r="G371" s="32">
        <v>1.0431232653333343E-3</v>
      </c>
    </row>
    <row r="372" spans="1:7" x14ac:dyDescent="0.2">
      <c r="A372" s="34" t="s">
        <v>75</v>
      </c>
      <c r="B372" s="34" t="s">
        <v>221</v>
      </c>
      <c r="C372" s="34" t="s">
        <v>65</v>
      </c>
      <c r="D372" s="34" t="s">
        <v>222</v>
      </c>
      <c r="E372" s="32">
        <v>1</v>
      </c>
      <c r="F372" s="34" t="s">
        <v>151</v>
      </c>
      <c r="G372" s="32">
        <v>3.2022971853333344E-3</v>
      </c>
    </row>
    <row r="373" spans="1:7" x14ac:dyDescent="0.2">
      <c r="A373" s="34" t="s">
        <v>75</v>
      </c>
      <c r="B373" s="34" t="s">
        <v>221</v>
      </c>
      <c r="C373" s="34" t="s">
        <v>223</v>
      </c>
      <c r="D373" s="34" t="s">
        <v>224</v>
      </c>
      <c r="E373" s="32">
        <v>1</v>
      </c>
      <c r="F373" s="34" t="s">
        <v>151</v>
      </c>
      <c r="G373" s="32">
        <v>1.1648336653333341E-3</v>
      </c>
    </row>
    <row r="374" spans="1:7" x14ac:dyDescent="0.2">
      <c r="A374" s="34" t="s">
        <v>52</v>
      </c>
      <c r="B374" s="34" t="s">
        <v>52</v>
      </c>
      <c r="C374" s="34" t="s">
        <v>65</v>
      </c>
      <c r="D374" s="34" t="s">
        <v>237</v>
      </c>
      <c r="E374" s="32">
        <v>1</v>
      </c>
      <c r="F374" s="34" t="s">
        <v>151</v>
      </c>
      <c r="G374" s="32">
        <v>7.6512620899999986E-3</v>
      </c>
    </row>
    <row r="375" spans="1:7" x14ac:dyDescent="0.2">
      <c r="A375" s="34" t="s">
        <v>52</v>
      </c>
      <c r="B375" s="34" t="s">
        <v>52</v>
      </c>
      <c r="C375" s="34" t="s">
        <v>65</v>
      </c>
      <c r="D375" s="34" t="s">
        <v>238</v>
      </c>
      <c r="E375" s="32">
        <v>1</v>
      </c>
      <c r="F375" s="34" t="s">
        <v>151</v>
      </c>
      <c r="G375" s="32">
        <v>5.011879690000001E-3</v>
      </c>
    </row>
    <row r="376" spans="1:7" x14ac:dyDescent="0.2">
      <c r="A376" s="34" t="s">
        <v>52</v>
      </c>
      <c r="B376" s="34" t="s">
        <v>52</v>
      </c>
      <c r="C376" s="34" t="s">
        <v>65</v>
      </c>
      <c r="D376" s="34" t="s">
        <v>239</v>
      </c>
      <c r="E376" s="32">
        <v>1</v>
      </c>
      <c r="F376" s="34" t="s">
        <v>151</v>
      </c>
      <c r="G376" s="32">
        <v>7.1284756900000011E-3</v>
      </c>
    </row>
    <row r="377" spans="1:7" x14ac:dyDescent="0.2">
      <c r="A377" s="34" t="s">
        <v>52</v>
      </c>
      <c r="B377" s="34" t="s">
        <v>52</v>
      </c>
      <c r="C377" s="34" t="s">
        <v>65</v>
      </c>
      <c r="D377" s="34" t="s">
        <v>240</v>
      </c>
      <c r="E377" s="32">
        <v>1</v>
      </c>
      <c r="F377" s="34" t="s">
        <v>151</v>
      </c>
      <c r="G377" s="32">
        <v>7.188730889999999E-3</v>
      </c>
    </row>
    <row r="378" spans="1:7" x14ac:dyDescent="0.2">
      <c r="A378" s="34" t="s">
        <v>52</v>
      </c>
      <c r="B378" s="34" t="s">
        <v>52</v>
      </c>
      <c r="C378" s="34" t="s">
        <v>65</v>
      </c>
      <c r="D378" s="34" t="s">
        <v>245</v>
      </c>
      <c r="E378" s="32">
        <v>1</v>
      </c>
      <c r="F378" s="34" t="s">
        <v>151</v>
      </c>
      <c r="G378" s="32">
        <v>9.6787716900000008E-3</v>
      </c>
    </row>
    <row r="379" spans="1:7" x14ac:dyDescent="0.2">
      <c r="A379" s="34" t="s">
        <v>52</v>
      </c>
      <c r="B379" s="34" t="s">
        <v>52</v>
      </c>
      <c r="C379" s="34" t="s">
        <v>223</v>
      </c>
      <c r="D379" s="34" t="s">
        <v>241</v>
      </c>
      <c r="E379" s="32">
        <v>1</v>
      </c>
      <c r="F379" s="34" t="s">
        <v>151</v>
      </c>
      <c r="G379" s="32">
        <v>1.6148444900000005E-3</v>
      </c>
    </row>
    <row r="380" spans="1:7" x14ac:dyDescent="0.2">
      <c r="A380" s="34" t="s">
        <v>52</v>
      </c>
      <c r="B380" s="34" t="s">
        <v>52</v>
      </c>
      <c r="C380" s="34" t="s">
        <v>223</v>
      </c>
      <c r="D380" s="34" t="s">
        <v>246</v>
      </c>
      <c r="E380" s="32">
        <v>1</v>
      </c>
      <c r="F380" s="34" t="s">
        <v>151</v>
      </c>
      <c r="G380" s="32">
        <v>1.5448296899999974E-3</v>
      </c>
    </row>
    <row r="381" spans="1:7" x14ac:dyDescent="0.2">
      <c r="A381" s="34" t="s">
        <v>52</v>
      </c>
      <c r="B381" s="34" t="s">
        <v>52</v>
      </c>
      <c r="C381" s="34" t="s">
        <v>223</v>
      </c>
      <c r="D381" s="34" t="s">
        <v>242</v>
      </c>
      <c r="E381" s="32">
        <v>1</v>
      </c>
      <c r="F381" s="34" t="s">
        <v>151</v>
      </c>
      <c r="G381" s="32">
        <v>2.6947896899999985E-3</v>
      </c>
    </row>
    <row r="382" spans="1:7" x14ac:dyDescent="0.2">
      <c r="A382" s="34" t="s">
        <v>52</v>
      </c>
      <c r="B382" s="34" t="s">
        <v>52</v>
      </c>
      <c r="C382" s="34" t="s">
        <v>223</v>
      </c>
      <c r="D382" s="34" t="s">
        <v>243</v>
      </c>
      <c r="E382" s="32">
        <v>1</v>
      </c>
      <c r="F382" s="34" t="s">
        <v>151</v>
      </c>
      <c r="G382" s="32">
        <v>1.1962492900000031E-3</v>
      </c>
    </row>
    <row r="383" spans="1:7" x14ac:dyDescent="0.2">
      <c r="A383" s="34" t="s">
        <v>52</v>
      </c>
      <c r="B383" s="34" t="s">
        <v>52</v>
      </c>
      <c r="C383" s="34" t="s">
        <v>223</v>
      </c>
      <c r="D383" s="34" t="s">
        <v>244</v>
      </c>
      <c r="E383" s="32">
        <v>1</v>
      </c>
      <c r="F383" s="34" t="s">
        <v>151</v>
      </c>
      <c r="G383" s="32">
        <v>1.8502324899999992E-3</v>
      </c>
    </row>
    <row r="384" spans="1:7" x14ac:dyDescent="0.2">
      <c r="A384" s="34" t="s">
        <v>52</v>
      </c>
      <c r="B384" s="34" t="s">
        <v>221</v>
      </c>
      <c r="C384" s="34" t="s">
        <v>65</v>
      </c>
      <c r="D384" s="34" t="s">
        <v>225</v>
      </c>
      <c r="E384" s="32">
        <v>1</v>
      </c>
      <c r="F384" s="34" t="s">
        <v>151</v>
      </c>
      <c r="G384" s="32">
        <v>8.0190336899999999E-3</v>
      </c>
    </row>
    <row r="385" spans="1:7" x14ac:dyDescent="0.2">
      <c r="A385" s="34" t="s">
        <v>52</v>
      </c>
      <c r="B385" s="34" t="s">
        <v>221</v>
      </c>
      <c r="C385" s="34" t="s">
        <v>223</v>
      </c>
      <c r="D385" s="34" t="s">
        <v>226</v>
      </c>
      <c r="E385" s="32">
        <v>1</v>
      </c>
      <c r="F385" s="34" t="s">
        <v>151</v>
      </c>
      <c r="G385" s="32">
        <v>1.4652856899999992E-3</v>
      </c>
    </row>
    <row r="386" spans="1:7" x14ac:dyDescent="0.2">
      <c r="A386" s="34" t="s">
        <v>75</v>
      </c>
      <c r="B386" s="34" t="s">
        <v>75</v>
      </c>
      <c r="C386" s="34" t="s">
        <v>65</v>
      </c>
      <c r="D386" s="34" t="s">
        <v>233</v>
      </c>
      <c r="E386" s="32">
        <v>2</v>
      </c>
      <c r="F386" s="34" t="s">
        <v>151</v>
      </c>
      <c r="G386" s="35">
        <v>4.1717299599999993E-2</v>
      </c>
    </row>
    <row r="387" spans="1:7" x14ac:dyDescent="0.2">
      <c r="A387" s="34" t="s">
        <v>75</v>
      </c>
      <c r="B387" s="34" t="s">
        <v>75</v>
      </c>
      <c r="C387" s="34" t="s">
        <v>65</v>
      </c>
      <c r="D387" s="34" t="s">
        <v>227</v>
      </c>
      <c r="E387" s="32">
        <v>2</v>
      </c>
      <c r="F387" s="34" t="s">
        <v>151</v>
      </c>
      <c r="G387" s="35">
        <v>4.0084767600000001E-2</v>
      </c>
    </row>
    <row r="388" spans="1:7" x14ac:dyDescent="0.2">
      <c r="A388" s="34" t="s">
        <v>75</v>
      </c>
      <c r="B388" s="34" t="s">
        <v>75</v>
      </c>
      <c r="C388" s="34" t="s">
        <v>65</v>
      </c>
      <c r="D388" s="34" t="s">
        <v>228</v>
      </c>
      <c r="E388" s="32">
        <v>2</v>
      </c>
      <c r="F388" s="34" t="s">
        <v>151</v>
      </c>
      <c r="G388" s="35">
        <v>4.6064403599999998E-2</v>
      </c>
    </row>
    <row r="389" spans="1:7" x14ac:dyDescent="0.2">
      <c r="A389" s="34" t="s">
        <v>75</v>
      </c>
      <c r="B389" s="34" t="s">
        <v>75</v>
      </c>
      <c r="C389" s="34" t="s">
        <v>65</v>
      </c>
      <c r="D389" s="34" t="s">
        <v>229</v>
      </c>
      <c r="E389" s="32">
        <v>2</v>
      </c>
      <c r="F389" s="34" t="s">
        <v>151</v>
      </c>
      <c r="G389" s="35">
        <v>4.4665839600000007E-2</v>
      </c>
    </row>
    <row r="390" spans="1:7" x14ac:dyDescent="0.2">
      <c r="A390" s="34" t="s">
        <v>75</v>
      </c>
      <c r="B390" s="34" t="s">
        <v>75</v>
      </c>
      <c r="C390" s="34" t="s">
        <v>65</v>
      </c>
      <c r="D390" s="34" t="s">
        <v>234</v>
      </c>
      <c r="E390" s="32">
        <v>2</v>
      </c>
      <c r="F390" s="34" t="s">
        <v>151</v>
      </c>
      <c r="G390" s="35">
        <v>4.757134360000001E-2</v>
      </c>
    </row>
    <row r="391" spans="1:7" x14ac:dyDescent="0.2">
      <c r="A391" s="34" t="s">
        <v>75</v>
      </c>
      <c r="B391" s="34" t="s">
        <v>75</v>
      </c>
      <c r="C391" s="34" t="s">
        <v>223</v>
      </c>
      <c r="D391" s="34" t="s">
        <v>230</v>
      </c>
      <c r="E391" s="32">
        <v>2</v>
      </c>
      <c r="F391" s="34" t="s">
        <v>151</v>
      </c>
      <c r="G391" s="35">
        <v>3.3692180000000037E-3</v>
      </c>
    </row>
    <row r="392" spans="1:7" x14ac:dyDescent="0.2">
      <c r="A392" s="34" t="s">
        <v>75</v>
      </c>
      <c r="B392" s="34" t="s">
        <v>75</v>
      </c>
      <c r="C392" s="34" t="s">
        <v>223</v>
      </c>
      <c r="D392" s="34" t="s">
        <v>231</v>
      </c>
      <c r="E392" s="32">
        <v>2</v>
      </c>
      <c r="F392" s="34" t="s">
        <v>151</v>
      </c>
      <c r="G392" s="35">
        <v>2.1194224000000011E-3</v>
      </c>
    </row>
    <row r="393" spans="1:7" x14ac:dyDescent="0.2">
      <c r="A393" s="34" t="s">
        <v>75</v>
      </c>
      <c r="B393" s="34" t="s">
        <v>75</v>
      </c>
      <c r="C393" s="34" t="s">
        <v>223</v>
      </c>
      <c r="D393" s="34" t="s">
        <v>235</v>
      </c>
      <c r="E393" s="32">
        <v>2</v>
      </c>
      <c r="F393" s="34" t="s">
        <v>151</v>
      </c>
      <c r="G393" s="35">
        <v>3.5017239999999995E-3</v>
      </c>
    </row>
    <row r="394" spans="1:7" x14ac:dyDescent="0.2">
      <c r="A394" s="34" t="s">
        <v>75</v>
      </c>
      <c r="B394" s="34" t="s">
        <v>75</v>
      </c>
      <c r="C394" s="34" t="s">
        <v>223</v>
      </c>
      <c r="D394" s="34" t="s">
        <v>232</v>
      </c>
      <c r="E394" s="32">
        <v>2</v>
      </c>
      <c r="F394" s="34" t="s">
        <v>151</v>
      </c>
      <c r="G394" s="35">
        <v>2.6019400000000005E-3</v>
      </c>
    </row>
    <row r="395" spans="1:7" x14ac:dyDescent="0.2">
      <c r="A395" s="34" t="s">
        <v>75</v>
      </c>
      <c r="B395" s="34" t="s">
        <v>75</v>
      </c>
      <c r="C395" s="34" t="s">
        <v>223</v>
      </c>
      <c r="D395" s="34" t="s">
        <v>236</v>
      </c>
      <c r="E395" s="32">
        <v>2</v>
      </c>
      <c r="F395" s="34" t="s">
        <v>151</v>
      </c>
      <c r="G395" s="35">
        <v>2.3918004000000014E-3</v>
      </c>
    </row>
    <row r="396" spans="1:7" x14ac:dyDescent="0.2">
      <c r="A396" s="34" t="s">
        <v>75</v>
      </c>
      <c r="B396" s="34" t="s">
        <v>221</v>
      </c>
      <c r="C396" s="34" t="s">
        <v>65</v>
      </c>
      <c r="D396" s="34" t="s">
        <v>222</v>
      </c>
      <c r="E396" s="32">
        <v>2</v>
      </c>
      <c r="F396" s="34" t="s">
        <v>151</v>
      </c>
      <c r="G396" s="35">
        <v>2.7789599600000006E-2</v>
      </c>
    </row>
    <row r="397" spans="1:7" x14ac:dyDescent="0.2">
      <c r="A397" s="34" t="s">
        <v>75</v>
      </c>
      <c r="B397" s="34" t="s">
        <v>221</v>
      </c>
      <c r="C397" s="34" t="s">
        <v>223</v>
      </c>
      <c r="D397" s="34" t="s">
        <v>224</v>
      </c>
      <c r="E397" s="32">
        <v>2</v>
      </c>
      <c r="F397" s="34" t="s">
        <v>151</v>
      </c>
      <c r="G397" s="35">
        <v>7.3314479999999974E-3</v>
      </c>
    </row>
    <row r="398" spans="1:7" x14ac:dyDescent="0.2">
      <c r="A398" s="34" t="s">
        <v>52</v>
      </c>
      <c r="B398" s="34" t="s">
        <v>52</v>
      </c>
      <c r="C398" s="34" t="s">
        <v>65</v>
      </c>
      <c r="D398" s="34" t="s">
        <v>237</v>
      </c>
      <c r="E398" s="32">
        <v>2</v>
      </c>
      <c r="F398" s="34" t="s">
        <v>151</v>
      </c>
      <c r="G398" s="35">
        <v>3.2667212200000004E-2</v>
      </c>
    </row>
    <row r="399" spans="1:7" x14ac:dyDescent="0.2">
      <c r="A399" s="34" t="s">
        <v>52</v>
      </c>
      <c r="B399" s="34" t="s">
        <v>52</v>
      </c>
      <c r="C399" s="34" t="s">
        <v>65</v>
      </c>
      <c r="D399" s="34" t="s">
        <v>238</v>
      </c>
      <c r="E399" s="32">
        <v>2</v>
      </c>
      <c r="F399" s="34" t="s">
        <v>151</v>
      </c>
      <c r="G399" s="35">
        <v>3.5668552200000002E-2</v>
      </c>
    </row>
    <row r="400" spans="1:7" x14ac:dyDescent="0.2">
      <c r="A400" s="34" t="s">
        <v>52</v>
      </c>
      <c r="B400" s="34" t="s">
        <v>52</v>
      </c>
      <c r="C400" s="34" t="s">
        <v>65</v>
      </c>
      <c r="D400" s="34" t="s">
        <v>239</v>
      </c>
      <c r="E400" s="32">
        <v>2</v>
      </c>
      <c r="F400" s="34" t="s">
        <v>151</v>
      </c>
      <c r="G400" s="35">
        <v>3.9214080199999994E-2</v>
      </c>
    </row>
    <row r="401" spans="1:7" x14ac:dyDescent="0.2">
      <c r="A401" s="34" t="s">
        <v>52</v>
      </c>
      <c r="B401" s="34" t="s">
        <v>52</v>
      </c>
      <c r="C401" s="34" t="s">
        <v>65</v>
      </c>
      <c r="D401" s="34" t="s">
        <v>240</v>
      </c>
      <c r="E401" s="32">
        <v>2</v>
      </c>
      <c r="F401" s="34" t="s">
        <v>151</v>
      </c>
      <c r="G401" s="35">
        <v>4.4015268199999999E-2</v>
      </c>
    </row>
    <row r="402" spans="1:7" x14ac:dyDescent="0.2">
      <c r="A402" s="34" t="s">
        <v>52</v>
      </c>
      <c r="B402" s="34" t="s">
        <v>52</v>
      </c>
      <c r="C402" s="34" t="s">
        <v>65</v>
      </c>
      <c r="D402" s="34" t="s">
        <v>245</v>
      </c>
      <c r="E402" s="32">
        <v>2</v>
      </c>
      <c r="F402" s="34" t="s">
        <v>151</v>
      </c>
      <c r="G402" s="35">
        <v>4.2519188199999995E-2</v>
      </c>
    </row>
    <row r="403" spans="1:7" x14ac:dyDescent="0.2">
      <c r="A403" s="34" t="s">
        <v>52</v>
      </c>
      <c r="B403" s="34" t="s">
        <v>52</v>
      </c>
      <c r="C403" s="34" t="s">
        <v>223</v>
      </c>
      <c r="D403" s="34" t="s">
        <v>241</v>
      </c>
      <c r="E403" s="32">
        <v>2</v>
      </c>
      <c r="F403" s="34" t="s">
        <v>151</v>
      </c>
      <c r="G403" s="35">
        <v>3.2474418000000022E-3</v>
      </c>
    </row>
    <row r="404" spans="1:7" x14ac:dyDescent="0.2">
      <c r="A404" s="34" t="s">
        <v>52</v>
      </c>
      <c r="B404" s="34" t="s">
        <v>52</v>
      </c>
      <c r="C404" s="34" t="s">
        <v>223</v>
      </c>
      <c r="D404" s="34" t="s">
        <v>246</v>
      </c>
      <c r="E404" s="32">
        <v>2</v>
      </c>
      <c r="F404" s="34" t="s">
        <v>151</v>
      </c>
      <c r="G404" s="35">
        <v>4.8212994000000012E-3</v>
      </c>
    </row>
    <row r="405" spans="1:7" x14ac:dyDescent="0.2">
      <c r="A405" s="34" t="s">
        <v>52</v>
      </c>
      <c r="B405" s="34" t="s">
        <v>52</v>
      </c>
      <c r="C405" s="34" t="s">
        <v>223</v>
      </c>
      <c r="D405" s="34" t="s">
        <v>242</v>
      </c>
      <c r="E405" s="32">
        <v>2</v>
      </c>
      <c r="F405" s="34" t="s">
        <v>151</v>
      </c>
      <c r="G405" s="35">
        <v>3.0648950000000015E-3</v>
      </c>
    </row>
    <row r="406" spans="1:7" x14ac:dyDescent="0.2">
      <c r="A406" s="34" t="s">
        <v>52</v>
      </c>
      <c r="B406" s="34" t="s">
        <v>52</v>
      </c>
      <c r="C406" s="34" t="s">
        <v>223</v>
      </c>
      <c r="D406" s="34" t="s">
        <v>243</v>
      </c>
      <c r="E406" s="32">
        <v>2</v>
      </c>
      <c r="F406" s="34" t="s">
        <v>151</v>
      </c>
      <c r="G406" s="35">
        <v>2.7935654000000015E-3</v>
      </c>
    </row>
    <row r="407" spans="1:7" x14ac:dyDescent="0.2">
      <c r="A407" s="34" t="s">
        <v>52</v>
      </c>
      <c r="B407" s="34" t="s">
        <v>52</v>
      </c>
      <c r="C407" s="34" t="s">
        <v>223</v>
      </c>
      <c r="D407" s="34" t="s">
        <v>244</v>
      </c>
      <c r="E407" s="32">
        <v>2</v>
      </c>
      <c r="F407" s="34" t="s">
        <v>151</v>
      </c>
      <c r="G407" s="35">
        <v>4.860381400000004E-3</v>
      </c>
    </row>
    <row r="408" spans="1:7" x14ac:dyDescent="0.2">
      <c r="A408" s="34" t="s">
        <v>52</v>
      </c>
      <c r="B408" s="34" t="s">
        <v>221</v>
      </c>
      <c r="C408" s="34" t="s">
        <v>65</v>
      </c>
      <c r="D408" s="34" t="s">
        <v>225</v>
      </c>
      <c r="E408" s="32">
        <v>2</v>
      </c>
      <c r="F408" s="34" t="s">
        <v>151</v>
      </c>
      <c r="G408" s="35">
        <v>2.7060868199999998E-2</v>
      </c>
    </row>
    <row r="409" spans="1:7" x14ac:dyDescent="0.2">
      <c r="A409" s="34" t="s">
        <v>52</v>
      </c>
      <c r="B409" s="34" t="s">
        <v>221</v>
      </c>
      <c r="C409" s="34" t="s">
        <v>223</v>
      </c>
      <c r="D409" s="34" t="s">
        <v>226</v>
      </c>
      <c r="E409" s="32">
        <v>2</v>
      </c>
      <c r="F409" s="34" t="s">
        <v>151</v>
      </c>
      <c r="G409" s="35">
        <v>6.3455950000000025E-3</v>
      </c>
    </row>
    <row r="410" spans="1:7" x14ac:dyDescent="0.2">
      <c r="A410" s="34" t="s">
        <v>75</v>
      </c>
      <c r="B410" s="34" t="s">
        <v>75</v>
      </c>
      <c r="C410" s="34" t="s">
        <v>65</v>
      </c>
      <c r="D410" s="34" t="s">
        <v>233</v>
      </c>
      <c r="E410" s="32">
        <v>3</v>
      </c>
      <c r="F410" s="34" t="s">
        <v>151</v>
      </c>
      <c r="G410" s="35">
        <v>0.11876286122</v>
      </c>
    </row>
    <row r="411" spans="1:7" x14ac:dyDescent="0.2">
      <c r="A411" s="34" t="s">
        <v>75</v>
      </c>
      <c r="B411" s="34" t="s">
        <v>75</v>
      </c>
      <c r="C411" s="34" t="s">
        <v>65</v>
      </c>
      <c r="D411" s="34" t="s">
        <v>227</v>
      </c>
      <c r="E411" s="32">
        <v>3</v>
      </c>
      <c r="F411" s="34" t="s">
        <v>151</v>
      </c>
      <c r="G411" s="35">
        <v>0.11825955722000002</v>
      </c>
    </row>
    <row r="412" spans="1:7" x14ac:dyDescent="0.2">
      <c r="A412" s="34" t="s">
        <v>75</v>
      </c>
      <c r="B412" s="34" t="s">
        <v>75</v>
      </c>
      <c r="C412" s="34" t="s">
        <v>65</v>
      </c>
      <c r="D412" s="34" t="s">
        <v>228</v>
      </c>
      <c r="E412" s="32">
        <v>3</v>
      </c>
      <c r="F412" s="34" t="s">
        <v>151</v>
      </c>
      <c r="G412" s="35">
        <v>0.16741802122000002</v>
      </c>
    </row>
    <row r="413" spans="1:7" x14ac:dyDescent="0.2">
      <c r="A413" s="34" t="s">
        <v>75</v>
      </c>
      <c r="B413" s="34" t="s">
        <v>75</v>
      </c>
      <c r="C413" s="34" t="s">
        <v>65</v>
      </c>
      <c r="D413" s="34" t="s">
        <v>229</v>
      </c>
      <c r="E413" s="32">
        <v>3</v>
      </c>
      <c r="F413" s="34" t="s">
        <v>151</v>
      </c>
      <c r="G413" s="35">
        <v>0.14020634122</v>
      </c>
    </row>
    <row r="414" spans="1:7" x14ac:dyDescent="0.2">
      <c r="A414" s="34" t="s">
        <v>75</v>
      </c>
      <c r="B414" s="34" t="s">
        <v>75</v>
      </c>
      <c r="C414" s="34" t="s">
        <v>65</v>
      </c>
      <c r="D414" s="34" t="s">
        <v>234</v>
      </c>
      <c r="E414" s="32">
        <v>3</v>
      </c>
      <c r="F414" s="34" t="s">
        <v>151</v>
      </c>
      <c r="G414" s="35">
        <v>0.16920086121999997</v>
      </c>
    </row>
    <row r="415" spans="1:7" x14ac:dyDescent="0.2">
      <c r="A415" s="34" t="s">
        <v>75</v>
      </c>
      <c r="B415" s="34" t="s">
        <v>75</v>
      </c>
      <c r="C415" s="34" t="s">
        <v>223</v>
      </c>
      <c r="D415" s="34" t="s">
        <v>230</v>
      </c>
      <c r="E415" s="32">
        <v>3</v>
      </c>
      <c r="F415" s="34" t="s">
        <v>151</v>
      </c>
      <c r="G415" s="35">
        <v>1.6817831219999996E-2</v>
      </c>
    </row>
    <row r="416" spans="1:7" x14ac:dyDescent="0.2">
      <c r="A416" s="34" t="s">
        <v>75</v>
      </c>
      <c r="B416" s="34" t="s">
        <v>75</v>
      </c>
      <c r="C416" s="34" t="s">
        <v>223</v>
      </c>
      <c r="D416" s="34" t="s">
        <v>231</v>
      </c>
      <c r="E416" s="32">
        <v>3</v>
      </c>
      <c r="F416" s="34" t="s">
        <v>151</v>
      </c>
      <c r="G416" s="35">
        <v>9.2622788200000025E-3</v>
      </c>
    </row>
    <row r="417" spans="1:7" x14ac:dyDescent="0.2">
      <c r="A417" s="34" t="s">
        <v>75</v>
      </c>
      <c r="B417" s="34" t="s">
        <v>75</v>
      </c>
      <c r="C417" s="34" t="s">
        <v>223</v>
      </c>
      <c r="D417" s="34" t="s">
        <v>235</v>
      </c>
      <c r="E417" s="32">
        <v>3</v>
      </c>
      <c r="F417" s="34" t="s">
        <v>151</v>
      </c>
      <c r="G417" s="35">
        <v>1.0422542420000003E-2</v>
      </c>
    </row>
    <row r="418" spans="1:7" x14ac:dyDescent="0.2">
      <c r="A418" s="34" t="s">
        <v>75</v>
      </c>
      <c r="B418" s="34" t="s">
        <v>75</v>
      </c>
      <c r="C418" s="34" t="s">
        <v>223</v>
      </c>
      <c r="D418" s="34" t="s">
        <v>232</v>
      </c>
      <c r="E418" s="32">
        <v>3</v>
      </c>
      <c r="F418" s="34" t="s">
        <v>151</v>
      </c>
      <c r="G418" s="35">
        <v>1.3153186420000004E-2</v>
      </c>
    </row>
    <row r="419" spans="1:7" x14ac:dyDescent="0.2">
      <c r="A419" s="34" t="s">
        <v>75</v>
      </c>
      <c r="B419" s="34" t="s">
        <v>75</v>
      </c>
      <c r="C419" s="34" t="s">
        <v>223</v>
      </c>
      <c r="D419" s="34" t="s">
        <v>236</v>
      </c>
      <c r="E419" s="32">
        <v>3</v>
      </c>
      <c r="F419" s="34" t="s">
        <v>151</v>
      </c>
      <c r="G419" s="35">
        <v>9.4916912199999991E-3</v>
      </c>
    </row>
    <row r="420" spans="1:7" x14ac:dyDescent="0.2">
      <c r="A420" s="34" t="s">
        <v>75</v>
      </c>
      <c r="B420" s="34" t="s">
        <v>221</v>
      </c>
      <c r="C420" s="34" t="s">
        <v>65</v>
      </c>
      <c r="D420" s="34" t="s">
        <v>222</v>
      </c>
      <c r="E420" s="32">
        <v>3</v>
      </c>
      <c r="F420" s="34" t="s">
        <v>151</v>
      </c>
      <c r="G420" s="35">
        <v>9.8520649220000006E-2</v>
      </c>
    </row>
    <row r="421" spans="1:7" x14ac:dyDescent="0.2">
      <c r="A421" s="34" t="s">
        <v>75</v>
      </c>
      <c r="B421" s="34" t="s">
        <v>221</v>
      </c>
      <c r="C421" s="34" t="s">
        <v>223</v>
      </c>
      <c r="D421" s="34" t="s">
        <v>224</v>
      </c>
      <c r="E421" s="32">
        <v>3</v>
      </c>
      <c r="F421" s="34" t="s">
        <v>151</v>
      </c>
      <c r="G421" s="35">
        <v>1.6036526420000006E-2</v>
      </c>
    </row>
    <row r="422" spans="1:7" x14ac:dyDescent="0.2">
      <c r="A422" s="34" t="s">
        <v>52</v>
      </c>
      <c r="B422" s="34" t="s">
        <v>52</v>
      </c>
      <c r="C422" s="34" t="s">
        <v>65</v>
      </c>
      <c r="D422" s="34" t="s">
        <v>237</v>
      </c>
      <c r="E422" s="32">
        <v>3</v>
      </c>
      <c r="F422" s="34" t="s">
        <v>151</v>
      </c>
      <c r="G422" s="35">
        <v>0.19126732909000005</v>
      </c>
    </row>
    <row r="423" spans="1:7" x14ac:dyDescent="0.2">
      <c r="A423" s="34" t="s">
        <v>52</v>
      </c>
      <c r="B423" s="34" t="s">
        <v>52</v>
      </c>
      <c r="C423" s="34" t="s">
        <v>65</v>
      </c>
      <c r="D423" s="34" t="s">
        <v>238</v>
      </c>
      <c r="E423" s="32">
        <v>3</v>
      </c>
      <c r="F423" s="34" t="s">
        <v>151</v>
      </c>
      <c r="G423" s="35">
        <v>0.19393920909000006</v>
      </c>
    </row>
    <row r="424" spans="1:7" x14ac:dyDescent="0.2">
      <c r="A424" s="34" t="s">
        <v>52</v>
      </c>
      <c r="B424" s="34" t="s">
        <v>52</v>
      </c>
      <c r="C424" s="34" t="s">
        <v>65</v>
      </c>
      <c r="D424" s="34" t="s">
        <v>239</v>
      </c>
      <c r="E424" s="32">
        <v>3</v>
      </c>
      <c r="F424" s="34" t="s">
        <v>151</v>
      </c>
      <c r="G424" s="35">
        <v>0.21934980909000007</v>
      </c>
    </row>
    <row r="425" spans="1:7" x14ac:dyDescent="0.2">
      <c r="A425" s="34" t="s">
        <v>52</v>
      </c>
      <c r="B425" s="34" t="s">
        <v>52</v>
      </c>
      <c r="C425" s="34" t="s">
        <v>65</v>
      </c>
      <c r="D425" s="34" t="s">
        <v>240</v>
      </c>
      <c r="E425" s="32">
        <v>3</v>
      </c>
      <c r="F425" s="34" t="s">
        <v>151</v>
      </c>
      <c r="G425" s="35">
        <v>0.20774464908999996</v>
      </c>
    </row>
    <row r="426" spans="1:7" x14ac:dyDescent="0.2">
      <c r="A426" s="34" t="s">
        <v>52</v>
      </c>
      <c r="B426" s="34" t="s">
        <v>52</v>
      </c>
      <c r="C426" s="34" t="s">
        <v>65</v>
      </c>
      <c r="D426" s="34" t="s">
        <v>245</v>
      </c>
      <c r="E426" s="32">
        <v>3</v>
      </c>
      <c r="F426" s="34" t="s">
        <v>151</v>
      </c>
      <c r="G426" s="35">
        <v>0.27767904909000002</v>
      </c>
    </row>
    <row r="427" spans="1:7" x14ac:dyDescent="0.2">
      <c r="A427" s="34" t="s">
        <v>52</v>
      </c>
      <c r="B427" s="34" t="s">
        <v>52</v>
      </c>
      <c r="C427" s="34" t="s">
        <v>223</v>
      </c>
      <c r="D427" s="34" t="s">
        <v>241</v>
      </c>
      <c r="E427" s="32">
        <v>3</v>
      </c>
      <c r="F427" s="34" t="s">
        <v>151</v>
      </c>
      <c r="G427" s="35">
        <v>1.8186549090000004E-2</v>
      </c>
    </row>
    <row r="428" spans="1:7" x14ac:dyDescent="0.2">
      <c r="A428" s="34" t="s">
        <v>52</v>
      </c>
      <c r="B428" s="34" t="s">
        <v>52</v>
      </c>
      <c r="C428" s="34" t="s">
        <v>223</v>
      </c>
      <c r="D428" s="34" t="s">
        <v>246</v>
      </c>
      <c r="E428" s="32">
        <v>3</v>
      </c>
      <c r="F428" s="34" t="s">
        <v>151</v>
      </c>
      <c r="G428" s="35">
        <v>1.8267544690000002E-2</v>
      </c>
    </row>
    <row r="429" spans="1:7" x14ac:dyDescent="0.2">
      <c r="A429" s="34" t="s">
        <v>52</v>
      </c>
      <c r="B429" s="34" t="s">
        <v>52</v>
      </c>
      <c r="C429" s="34" t="s">
        <v>223</v>
      </c>
      <c r="D429" s="34" t="s">
        <v>242</v>
      </c>
      <c r="E429" s="32">
        <v>3</v>
      </c>
      <c r="F429" s="34" t="s">
        <v>151</v>
      </c>
      <c r="G429" s="35">
        <v>2.1041169090000002E-2</v>
      </c>
    </row>
    <row r="430" spans="1:7" x14ac:dyDescent="0.2">
      <c r="A430" s="34" t="s">
        <v>52</v>
      </c>
      <c r="B430" s="34" t="s">
        <v>52</v>
      </c>
      <c r="C430" s="34" t="s">
        <v>223</v>
      </c>
      <c r="D430" s="34" t="s">
        <v>243</v>
      </c>
      <c r="E430" s="32">
        <v>3</v>
      </c>
      <c r="F430" s="34" t="s">
        <v>151</v>
      </c>
      <c r="G430" s="35">
        <v>1.960018509E-2</v>
      </c>
    </row>
    <row r="431" spans="1:7" x14ac:dyDescent="0.2">
      <c r="A431" s="34" t="s">
        <v>52</v>
      </c>
      <c r="B431" s="34" t="s">
        <v>52</v>
      </c>
      <c r="C431" s="34" t="s">
        <v>223</v>
      </c>
      <c r="D431" s="34" t="s">
        <v>244</v>
      </c>
      <c r="E431" s="32">
        <v>3</v>
      </c>
      <c r="F431" s="34" t="s">
        <v>151</v>
      </c>
      <c r="G431" s="35">
        <v>2.2240577090000005E-2</v>
      </c>
    </row>
    <row r="432" spans="1:7" x14ac:dyDescent="0.2">
      <c r="A432" s="34" t="s">
        <v>52</v>
      </c>
      <c r="B432" s="34" t="s">
        <v>221</v>
      </c>
      <c r="C432" s="34" t="s">
        <v>65</v>
      </c>
      <c r="D432" s="34" t="s">
        <v>225</v>
      </c>
      <c r="E432" s="32">
        <v>3</v>
      </c>
      <c r="F432" s="34" t="s">
        <v>151</v>
      </c>
      <c r="G432" s="35">
        <v>0.13278264108999999</v>
      </c>
    </row>
    <row r="433" spans="1:7" x14ac:dyDescent="0.2">
      <c r="A433" s="34" t="s">
        <v>52</v>
      </c>
      <c r="B433" s="34" t="s">
        <v>221</v>
      </c>
      <c r="C433" s="34" t="s">
        <v>223</v>
      </c>
      <c r="D433" s="34" t="s">
        <v>226</v>
      </c>
      <c r="E433" s="32">
        <v>3</v>
      </c>
      <c r="F433" s="34" t="s">
        <v>151</v>
      </c>
      <c r="G433" s="35">
        <v>2.7175789090000006E-2</v>
      </c>
    </row>
    <row r="434" spans="1:7" x14ac:dyDescent="0.2">
      <c r="A434" s="34" t="s">
        <v>75</v>
      </c>
      <c r="B434" s="34" t="s">
        <v>75</v>
      </c>
      <c r="C434" s="34" t="s">
        <v>65</v>
      </c>
      <c r="D434" s="34" t="s">
        <v>233</v>
      </c>
      <c r="E434" s="32">
        <v>3</v>
      </c>
      <c r="F434" s="34" t="s">
        <v>151</v>
      </c>
      <c r="G434" s="35">
        <v>1.5E-3</v>
      </c>
    </row>
    <row r="435" spans="1:7" x14ac:dyDescent="0.2">
      <c r="A435" s="34" t="s">
        <v>75</v>
      </c>
      <c r="B435" s="34" t="s">
        <v>75</v>
      </c>
      <c r="C435" s="34" t="s">
        <v>65</v>
      </c>
      <c r="D435" s="34" t="s">
        <v>227</v>
      </c>
      <c r="E435" s="32">
        <v>3</v>
      </c>
      <c r="F435" s="34" t="s">
        <v>151</v>
      </c>
      <c r="G435" s="35">
        <v>1.5E-3</v>
      </c>
    </row>
    <row r="436" spans="1:7" x14ac:dyDescent="0.2">
      <c r="A436" s="34" t="s">
        <v>75</v>
      </c>
      <c r="B436" s="34" t="s">
        <v>75</v>
      </c>
      <c r="C436" s="34" t="s">
        <v>65</v>
      </c>
      <c r="D436" s="34" t="s">
        <v>228</v>
      </c>
      <c r="E436" s="32">
        <v>3</v>
      </c>
      <c r="F436" s="34" t="s">
        <v>151</v>
      </c>
      <c r="G436" s="35">
        <v>1.5E-3</v>
      </c>
    </row>
    <row r="437" spans="1:7" x14ac:dyDescent="0.2">
      <c r="A437" s="34" t="s">
        <v>75</v>
      </c>
      <c r="B437" s="34" t="s">
        <v>75</v>
      </c>
      <c r="C437" s="34" t="s">
        <v>65</v>
      </c>
      <c r="D437" s="34" t="s">
        <v>229</v>
      </c>
      <c r="E437" s="32">
        <v>3</v>
      </c>
      <c r="F437" s="34" t="s">
        <v>151</v>
      </c>
      <c r="G437" s="35">
        <v>1.5E-3</v>
      </c>
    </row>
    <row r="438" spans="1:7" x14ac:dyDescent="0.2">
      <c r="A438" s="34" t="s">
        <v>75</v>
      </c>
      <c r="B438" s="34" t="s">
        <v>75</v>
      </c>
      <c r="C438" s="34" t="s">
        <v>65</v>
      </c>
      <c r="D438" s="34" t="s">
        <v>234</v>
      </c>
      <c r="E438" s="32">
        <v>3</v>
      </c>
      <c r="F438" s="34" t="s">
        <v>151</v>
      </c>
      <c r="G438" s="35">
        <v>1.5E-3</v>
      </c>
    </row>
    <row r="439" spans="1:7" x14ac:dyDescent="0.2">
      <c r="A439" s="34" t="s">
        <v>75</v>
      </c>
      <c r="B439" s="34" t="s">
        <v>75</v>
      </c>
      <c r="C439" s="34" t="s">
        <v>223</v>
      </c>
      <c r="D439" s="34" t="s">
        <v>230</v>
      </c>
      <c r="E439" s="32">
        <v>3</v>
      </c>
      <c r="F439" s="34" t="s">
        <v>151</v>
      </c>
      <c r="G439" s="35">
        <v>1.5E-3</v>
      </c>
    </row>
    <row r="440" spans="1:7" x14ac:dyDescent="0.2">
      <c r="A440" s="34" t="s">
        <v>75</v>
      </c>
      <c r="B440" s="34" t="s">
        <v>75</v>
      </c>
      <c r="C440" s="34" t="s">
        <v>223</v>
      </c>
      <c r="D440" s="34" t="s">
        <v>231</v>
      </c>
      <c r="E440" s="32">
        <v>3</v>
      </c>
      <c r="F440" s="34" t="s">
        <v>151</v>
      </c>
      <c r="G440" s="35">
        <v>1.5E-3</v>
      </c>
    </row>
    <row r="441" spans="1:7" x14ac:dyDescent="0.2">
      <c r="A441" s="34" t="s">
        <v>75</v>
      </c>
      <c r="B441" s="34" t="s">
        <v>75</v>
      </c>
      <c r="C441" s="34" t="s">
        <v>223</v>
      </c>
      <c r="D441" s="34" t="s">
        <v>235</v>
      </c>
      <c r="E441" s="32">
        <v>3</v>
      </c>
      <c r="F441" s="34" t="s">
        <v>151</v>
      </c>
      <c r="G441" s="35">
        <v>1.5E-3</v>
      </c>
    </row>
    <row r="442" spans="1:7" x14ac:dyDescent="0.2">
      <c r="A442" s="34" t="s">
        <v>75</v>
      </c>
      <c r="B442" s="34" t="s">
        <v>75</v>
      </c>
      <c r="C442" s="34" t="s">
        <v>223</v>
      </c>
      <c r="D442" s="34" t="s">
        <v>232</v>
      </c>
      <c r="E442" s="32">
        <v>3</v>
      </c>
      <c r="F442" s="34" t="s">
        <v>151</v>
      </c>
      <c r="G442" s="35">
        <v>1.5E-3</v>
      </c>
    </row>
    <row r="443" spans="1:7" x14ac:dyDescent="0.2">
      <c r="A443" s="34" t="s">
        <v>75</v>
      </c>
      <c r="B443" s="34" t="s">
        <v>75</v>
      </c>
      <c r="C443" s="34" t="s">
        <v>223</v>
      </c>
      <c r="D443" s="34" t="s">
        <v>236</v>
      </c>
      <c r="E443" s="32">
        <v>3</v>
      </c>
      <c r="F443" s="34" t="s">
        <v>151</v>
      </c>
      <c r="G443" s="35">
        <v>1.5E-3</v>
      </c>
    </row>
    <row r="444" spans="1:7" x14ac:dyDescent="0.2">
      <c r="A444" s="34" t="s">
        <v>75</v>
      </c>
      <c r="B444" s="34" t="s">
        <v>221</v>
      </c>
      <c r="C444" s="34" t="s">
        <v>65</v>
      </c>
      <c r="D444" s="34" t="s">
        <v>222</v>
      </c>
      <c r="E444" s="32">
        <v>3</v>
      </c>
      <c r="F444" s="34" t="s">
        <v>151</v>
      </c>
      <c r="G444" s="35">
        <v>1.5E-3</v>
      </c>
    </row>
    <row r="445" spans="1:7" x14ac:dyDescent="0.2">
      <c r="A445" s="34" t="s">
        <v>75</v>
      </c>
      <c r="B445" s="34" t="s">
        <v>221</v>
      </c>
      <c r="C445" s="34" t="s">
        <v>223</v>
      </c>
      <c r="D445" s="34" t="s">
        <v>224</v>
      </c>
      <c r="E445" s="32">
        <v>3</v>
      </c>
      <c r="F445" s="34" t="s">
        <v>151</v>
      </c>
      <c r="G445" s="35">
        <v>1.5E-3</v>
      </c>
    </row>
    <row r="446" spans="1:7" x14ac:dyDescent="0.2">
      <c r="A446" s="34" t="s">
        <v>52</v>
      </c>
      <c r="B446" s="34" t="s">
        <v>52</v>
      </c>
      <c r="C446" s="34" t="s">
        <v>65</v>
      </c>
      <c r="D446" s="34" t="s">
        <v>237</v>
      </c>
      <c r="E446" s="32">
        <v>3</v>
      </c>
      <c r="F446" s="34" t="s">
        <v>151</v>
      </c>
      <c r="G446" s="35">
        <v>1E-3</v>
      </c>
    </row>
    <row r="447" spans="1:7" x14ac:dyDescent="0.2">
      <c r="A447" s="34" t="s">
        <v>52</v>
      </c>
      <c r="B447" s="34" t="s">
        <v>52</v>
      </c>
      <c r="C447" s="34" t="s">
        <v>65</v>
      </c>
      <c r="D447" s="34" t="s">
        <v>238</v>
      </c>
      <c r="E447" s="32">
        <v>3</v>
      </c>
      <c r="F447" s="34" t="s">
        <v>151</v>
      </c>
      <c r="G447" s="35">
        <v>1E-3</v>
      </c>
    </row>
    <row r="448" spans="1:7" x14ac:dyDescent="0.2">
      <c r="A448" s="34" t="s">
        <v>52</v>
      </c>
      <c r="B448" s="34" t="s">
        <v>52</v>
      </c>
      <c r="C448" s="34" t="s">
        <v>65</v>
      </c>
      <c r="D448" s="34" t="s">
        <v>239</v>
      </c>
      <c r="E448" s="32">
        <v>3</v>
      </c>
      <c r="F448" s="34" t="s">
        <v>151</v>
      </c>
      <c r="G448" s="35">
        <v>1E-3</v>
      </c>
    </row>
    <row r="449" spans="1:7" x14ac:dyDescent="0.2">
      <c r="A449" s="34" t="s">
        <v>52</v>
      </c>
      <c r="B449" s="34" t="s">
        <v>52</v>
      </c>
      <c r="C449" s="34" t="s">
        <v>65</v>
      </c>
      <c r="D449" s="34" t="s">
        <v>240</v>
      </c>
      <c r="E449" s="32">
        <v>3</v>
      </c>
      <c r="F449" s="34" t="s">
        <v>151</v>
      </c>
      <c r="G449" s="35">
        <v>1E-3</v>
      </c>
    </row>
    <row r="450" spans="1:7" x14ac:dyDescent="0.2">
      <c r="A450" s="34" t="s">
        <v>52</v>
      </c>
      <c r="B450" s="34" t="s">
        <v>52</v>
      </c>
      <c r="C450" s="34" t="s">
        <v>65</v>
      </c>
      <c r="D450" s="34" t="s">
        <v>245</v>
      </c>
      <c r="E450" s="32">
        <v>3</v>
      </c>
      <c r="F450" s="34" t="s">
        <v>151</v>
      </c>
      <c r="G450" s="35">
        <v>1E-3</v>
      </c>
    </row>
    <row r="451" spans="1:7" x14ac:dyDescent="0.2">
      <c r="A451" s="34" t="s">
        <v>52</v>
      </c>
      <c r="B451" s="34" t="s">
        <v>52</v>
      </c>
      <c r="C451" s="34" t="s">
        <v>223</v>
      </c>
      <c r="D451" s="34" t="s">
        <v>241</v>
      </c>
      <c r="E451" s="32">
        <v>3</v>
      </c>
      <c r="F451" s="34" t="s">
        <v>151</v>
      </c>
      <c r="G451" s="35">
        <v>3.0000000000000001E-3</v>
      </c>
    </row>
    <row r="452" spans="1:7" x14ac:dyDescent="0.2">
      <c r="A452" s="34" t="s">
        <v>52</v>
      </c>
      <c r="B452" s="34" t="s">
        <v>52</v>
      </c>
      <c r="C452" s="34" t="s">
        <v>223</v>
      </c>
      <c r="D452" s="34" t="s">
        <v>246</v>
      </c>
      <c r="E452" s="32">
        <v>3</v>
      </c>
      <c r="F452" s="34" t="s">
        <v>151</v>
      </c>
      <c r="G452" s="35">
        <v>3.0000000000000001E-3</v>
      </c>
    </row>
    <row r="453" spans="1:7" x14ac:dyDescent="0.2">
      <c r="A453" s="34" t="s">
        <v>52</v>
      </c>
      <c r="B453" s="34" t="s">
        <v>52</v>
      </c>
      <c r="C453" s="34" t="s">
        <v>223</v>
      </c>
      <c r="D453" s="34" t="s">
        <v>242</v>
      </c>
      <c r="E453" s="32">
        <v>3</v>
      </c>
      <c r="F453" s="34" t="s">
        <v>151</v>
      </c>
      <c r="G453" s="35">
        <v>3.0000000000000001E-3</v>
      </c>
    </row>
    <row r="454" spans="1:7" x14ac:dyDescent="0.2">
      <c r="A454" s="34" t="s">
        <v>52</v>
      </c>
      <c r="B454" s="34" t="s">
        <v>52</v>
      </c>
      <c r="C454" s="34" t="s">
        <v>223</v>
      </c>
      <c r="D454" s="34" t="s">
        <v>243</v>
      </c>
      <c r="E454" s="32">
        <v>3</v>
      </c>
      <c r="F454" s="34" t="s">
        <v>151</v>
      </c>
      <c r="G454" s="35">
        <v>3.0000000000000001E-3</v>
      </c>
    </row>
    <row r="455" spans="1:7" x14ac:dyDescent="0.2">
      <c r="A455" s="34" t="s">
        <v>52</v>
      </c>
      <c r="B455" s="34" t="s">
        <v>52</v>
      </c>
      <c r="C455" s="34" t="s">
        <v>223</v>
      </c>
      <c r="D455" s="34" t="s">
        <v>244</v>
      </c>
      <c r="E455" s="32">
        <v>3</v>
      </c>
      <c r="F455" s="34" t="s">
        <v>151</v>
      </c>
      <c r="G455" s="35">
        <v>3.0000000000000001E-3</v>
      </c>
    </row>
    <row r="456" spans="1:7" x14ac:dyDescent="0.2">
      <c r="A456" s="34" t="s">
        <v>52</v>
      </c>
      <c r="B456" s="34" t="s">
        <v>221</v>
      </c>
      <c r="C456" s="34" t="s">
        <v>65</v>
      </c>
      <c r="D456" s="34" t="s">
        <v>225</v>
      </c>
      <c r="E456" s="32">
        <v>3</v>
      </c>
      <c r="F456" s="34" t="s">
        <v>151</v>
      </c>
      <c r="G456" s="35">
        <v>1E-3</v>
      </c>
    </row>
    <row r="457" spans="1:7" x14ac:dyDescent="0.2">
      <c r="A457" s="34" t="s">
        <v>52</v>
      </c>
      <c r="B457" s="34" t="s">
        <v>221</v>
      </c>
      <c r="C457" s="34" t="s">
        <v>223</v>
      </c>
      <c r="D457" s="34" t="s">
        <v>226</v>
      </c>
      <c r="E457" s="32">
        <v>3</v>
      </c>
      <c r="F457" s="34" t="s">
        <v>151</v>
      </c>
      <c r="G457" s="35">
        <v>3.0000000000000001E-3</v>
      </c>
    </row>
    <row r="458" spans="1:7" x14ac:dyDescent="0.2">
      <c r="A458" s="34" t="s">
        <v>75</v>
      </c>
      <c r="B458" s="34" t="s">
        <v>75</v>
      </c>
      <c r="C458" s="34" t="s">
        <v>65</v>
      </c>
      <c r="D458" s="34" t="s">
        <v>233</v>
      </c>
      <c r="E458" s="32">
        <v>6</v>
      </c>
      <c r="F458" s="34" t="s">
        <v>151</v>
      </c>
      <c r="G458" s="35">
        <v>0.22683082861000001</v>
      </c>
    </row>
    <row r="459" spans="1:7" x14ac:dyDescent="0.2">
      <c r="A459" s="34" t="s">
        <v>75</v>
      </c>
      <c r="B459" s="34" t="s">
        <v>75</v>
      </c>
      <c r="C459" s="34" t="s">
        <v>65</v>
      </c>
      <c r="D459" s="34" t="s">
        <v>227</v>
      </c>
      <c r="E459" s="32">
        <v>6</v>
      </c>
      <c r="F459" s="34" t="s">
        <v>151</v>
      </c>
      <c r="G459" s="35">
        <v>0.26982726861</v>
      </c>
    </row>
    <row r="460" spans="1:7" x14ac:dyDescent="0.2">
      <c r="A460" s="34" t="s">
        <v>75</v>
      </c>
      <c r="B460" s="34" t="s">
        <v>75</v>
      </c>
      <c r="C460" s="34" t="s">
        <v>65</v>
      </c>
      <c r="D460" s="34" t="s">
        <v>228</v>
      </c>
      <c r="E460" s="32">
        <v>6</v>
      </c>
      <c r="F460" s="34" t="s">
        <v>151</v>
      </c>
      <c r="G460" s="35">
        <v>0.28096966861</v>
      </c>
    </row>
    <row r="461" spans="1:7" x14ac:dyDescent="0.2">
      <c r="A461" s="34" t="s">
        <v>75</v>
      </c>
      <c r="B461" s="34" t="s">
        <v>75</v>
      </c>
      <c r="C461" s="34" t="s">
        <v>65</v>
      </c>
      <c r="D461" s="34" t="s">
        <v>229</v>
      </c>
      <c r="E461" s="32">
        <v>6</v>
      </c>
      <c r="F461" s="34" t="s">
        <v>151</v>
      </c>
      <c r="G461" s="35">
        <v>0.25195866860999999</v>
      </c>
    </row>
    <row r="462" spans="1:7" x14ac:dyDescent="0.2">
      <c r="A462" s="34" t="s">
        <v>75</v>
      </c>
      <c r="B462" s="34" t="s">
        <v>75</v>
      </c>
      <c r="C462" s="34" t="s">
        <v>65</v>
      </c>
      <c r="D462" s="34" t="s">
        <v>234</v>
      </c>
      <c r="E462" s="32">
        <v>6</v>
      </c>
      <c r="F462" s="34" t="s">
        <v>151</v>
      </c>
      <c r="G462" s="35">
        <v>0.31224782861</v>
      </c>
    </row>
    <row r="463" spans="1:7" x14ac:dyDescent="0.2">
      <c r="A463" s="34" t="s">
        <v>75</v>
      </c>
      <c r="B463" s="34" t="s">
        <v>75</v>
      </c>
      <c r="C463" s="34" t="s">
        <v>223</v>
      </c>
      <c r="D463" s="34" t="s">
        <v>230</v>
      </c>
      <c r="E463" s="32">
        <v>6</v>
      </c>
      <c r="F463" s="34" t="s">
        <v>151</v>
      </c>
      <c r="G463" s="35">
        <v>6.6413746099999995E-3</v>
      </c>
    </row>
    <row r="464" spans="1:7" x14ac:dyDescent="0.2">
      <c r="A464" s="34" t="s">
        <v>75</v>
      </c>
      <c r="B464" s="34" t="s">
        <v>75</v>
      </c>
      <c r="C464" s="34" t="s">
        <v>223</v>
      </c>
      <c r="D464" s="34" t="s">
        <v>231</v>
      </c>
      <c r="E464" s="32">
        <v>6</v>
      </c>
      <c r="F464" s="34" t="s">
        <v>151</v>
      </c>
      <c r="G464" s="35">
        <v>7.1236766100000017E-3</v>
      </c>
    </row>
    <row r="465" spans="1:7" x14ac:dyDescent="0.2">
      <c r="A465" s="34" t="s">
        <v>75</v>
      </c>
      <c r="B465" s="34" t="s">
        <v>75</v>
      </c>
      <c r="C465" s="34" t="s">
        <v>223</v>
      </c>
      <c r="D465" s="34" t="s">
        <v>235</v>
      </c>
      <c r="E465" s="32">
        <v>6</v>
      </c>
      <c r="F465" s="34" t="s">
        <v>151</v>
      </c>
      <c r="G465" s="35">
        <v>5.3634474099999987E-3</v>
      </c>
    </row>
    <row r="466" spans="1:7" x14ac:dyDescent="0.2">
      <c r="A466" s="34" t="s">
        <v>75</v>
      </c>
      <c r="B466" s="34" t="s">
        <v>75</v>
      </c>
      <c r="C466" s="34" t="s">
        <v>223</v>
      </c>
      <c r="D466" s="34" t="s">
        <v>232</v>
      </c>
      <c r="E466" s="32">
        <v>6</v>
      </c>
      <c r="F466" s="34" t="s">
        <v>151</v>
      </c>
      <c r="G466" s="35">
        <v>4.6186586100000005E-3</v>
      </c>
    </row>
    <row r="467" spans="1:7" x14ac:dyDescent="0.2">
      <c r="A467" s="34" t="s">
        <v>75</v>
      </c>
      <c r="B467" s="34" t="s">
        <v>75</v>
      </c>
      <c r="C467" s="34" t="s">
        <v>223</v>
      </c>
      <c r="D467" s="34" t="s">
        <v>236</v>
      </c>
      <c r="E467" s="32">
        <v>6</v>
      </c>
      <c r="F467" s="34" t="s">
        <v>151</v>
      </c>
      <c r="G467" s="35">
        <v>6.3944706100000004E-3</v>
      </c>
    </row>
    <row r="468" spans="1:7" x14ac:dyDescent="0.2">
      <c r="A468" s="34" t="s">
        <v>75</v>
      </c>
      <c r="B468" s="34" t="s">
        <v>221</v>
      </c>
      <c r="C468" s="34" t="s">
        <v>65</v>
      </c>
      <c r="D468" s="34" t="s">
        <v>222</v>
      </c>
      <c r="E468" s="32">
        <v>6</v>
      </c>
      <c r="F468" s="34" t="s">
        <v>151</v>
      </c>
      <c r="G468" s="35">
        <v>0.13790834861000001</v>
      </c>
    </row>
    <row r="469" spans="1:7" x14ac:dyDescent="0.2">
      <c r="A469" s="34" t="s">
        <v>75</v>
      </c>
      <c r="B469" s="34" t="s">
        <v>221</v>
      </c>
      <c r="C469" s="34" t="s">
        <v>223</v>
      </c>
      <c r="D469" s="34" t="s">
        <v>224</v>
      </c>
      <c r="E469" s="32">
        <v>6</v>
      </c>
      <c r="F469" s="34" t="s">
        <v>151</v>
      </c>
      <c r="G469" s="35">
        <v>1.0281453409999999E-2</v>
      </c>
    </row>
    <row r="470" spans="1:7" x14ac:dyDescent="0.2">
      <c r="A470" s="34" t="s">
        <v>52</v>
      </c>
      <c r="B470" s="34" t="s">
        <v>52</v>
      </c>
      <c r="C470" s="34" t="s">
        <v>65</v>
      </c>
      <c r="D470" s="34" t="s">
        <v>237</v>
      </c>
      <c r="E470" s="32">
        <v>6</v>
      </c>
      <c r="F470" s="34" t="s">
        <v>151</v>
      </c>
      <c r="G470" s="35">
        <v>0.14860658544899999</v>
      </c>
    </row>
    <row r="471" spans="1:7" x14ac:dyDescent="0.2">
      <c r="A471" s="34" t="s">
        <v>52</v>
      </c>
      <c r="B471" s="34" t="s">
        <v>52</v>
      </c>
      <c r="C471" s="34" t="s">
        <v>65</v>
      </c>
      <c r="D471" s="34" t="s">
        <v>238</v>
      </c>
      <c r="E471" s="32">
        <v>6</v>
      </c>
      <c r="F471" s="34" t="s">
        <v>151</v>
      </c>
      <c r="G471" s="35">
        <v>0.17461410944899997</v>
      </c>
    </row>
    <row r="472" spans="1:7" x14ac:dyDescent="0.2">
      <c r="A472" s="34" t="s">
        <v>52</v>
      </c>
      <c r="B472" s="34" t="s">
        <v>52</v>
      </c>
      <c r="C472" s="34" t="s">
        <v>65</v>
      </c>
      <c r="D472" s="34" t="s">
        <v>239</v>
      </c>
      <c r="E472" s="32">
        <v>6</v>
      </c>
      <c r="F472" s="34" t="s">
        <v>151</v>
      </c>
      <c r="G472" s="35">
        <v>0.11888089344899999</v>
      </c>
    </row>
    <row r="473" spans="1:7" x14ac:dyDescent="0.2">
      <c r="A473" s="34" t="s">
        <v>52</v>
      </c>
      <c r="B473" s="34" t="s">
        <v>52</v>
      </c>
      <c r="C473" s="34" t="s">
        <v>65</v>
      </c>
      <c r="D473" s="34" t="s">
        <v>240</v>
      </c>
      <c r="E473" s="32">
        <v>6</v>
      </c>
      <c r="F473" s="34" t="s">
        <v>151</v>
      </c>
      <c r="G473" s="35">
        <v>0.14706602944900002</v>
      </c>
    </row>
    <row r="474" spans="1:7" x14ac:dyDescent="0.2">
      <c r="A474" s="34" t="s">
        <v>52</v>
      </c>
      <c r="B474" s="34" t="s">
        <v>52</v>
      </c>
      <c r="C474" s="34" t="s">
        <v>65</v>
      </c>
      <c r="D474" s="34" t="s">
        <v>245</v>
      </c>
      <c r="E474" s="32">
        <v>6</v>
      </c>
      <c r="F474" s="34" t="s">
        <v>151</v>
      </c>
      <c r="G474" s="35">
        <v>8.674080944900002E-2</v>
      </c>
    </row>
    <row r="475" spans="1:7" x14ac:dyDescent="0.2">
      <c r="A475" s="34" t="s">
        <v>52</v>
      </c>
      <c r="B475" s="34" t="s">
        <v>52</v>
      </c>
      <c r="C475" s="34" t="s">
        <v>223</v>
      </c>
      <c r="D475" s="34" t="s">
        <v>241</v>
      </c>
      <c r="E475" s="32">
        <v>6</v>
      </c>
      <c r="F475" s="34" t="s">
        <v>151</v>
      </c>
      <c r="G475" s="35">
        <v>1.0832150248999998E-2</v>
      </c>
    </row>
    <row r="476" spans="1:7" x14ac:dyDescent="0.2">
      <c r="A476" s="34" t="s">
        <v>52</v>
      </c>
      <c r="B476" s="34" t="s">
        <v>52</v>
      </c>
      <c r="C476" s="34" t="s">
        <v>223</v>
      </c>
      <c r="D476" s="34" t="s">
        <v>246</v>
      </c>
      <c r="E476" s="32">
        <v>6</v>
      </c>
      <c r="F476" s="34" t="s">
        <v>151</v>
      </c>
      <c r="G476" s="35">
        <v>9.9074134489999955E-3</v>
      </c>
    </row>
    <row r="477" spans="1:7" x14ac:dyDescent="0.2">
      <c r="A477" s="34" t="s">
        <v>52</v>
      </c>
      <c r="B477" s="34" t="s">
        <v>52</v>
      </c>
      <c r="C477" s="34" t="s">
        <v>223</v>
      </c>
      <c r="D477" s="34" t="s">
        <v>242</v>
      </c>
      <c r="E477" s="32">
        <v>6</v>
      </c>
      <c r="F477" s="34" t="s">
        <v>151</v>
      </c>
      <c r="G477" s="35">
        <v>2.3112902648999997E-2</v>
      </c>
    </row>
    <row r="478" spans="1:7" x14ac:dyDescent="0.2">
      <c r="A478" s="34" t="s">
        <v>52</v>
      </c>
      <c r="B478" s="34" t="s">
        <v>52</v>
      </c>
      <c r="C478" s="34" t="s">
        <v>223</v>
      </c>
      <c r="D478" s="34" t="s">
        <v>243</v>
      </c>
      <c r="E478" s="32">
        <v>6</v>
      </c>
      <c r="F478" s="34" t="s">
        <v>151</v>
      </c>
      <c r="G478" s="35">
        <v>1.8903993848999996E-2</v>
      </c>
    </row>
    <row r="479" spans="1:7" x14ac:dyDescent="0.2">
      <c r="A479" s="34" t="s">
        <v>52</v>
      </c>
      <c r="B479" s="34" t="s">
        <v>52</v>
      </c>
      <c r="C479" s="34" t="s">
        <v>223</v>
      </c>
      <c r="D479" s="34" t="s">
        <v>244</v>
      </c>
      <c r="E479" s="32">
        <v>6</v>
      </c>
      <c r="F479" s="34" t="s">
        <v>151</v>
      </c>
      <c r="G479" s="35">
        <v>7.9820706490000021E-3</v>
      </c>
    </row>
    <row r="480" spans="1:7" x14ac:dyDescent="0.2">
      <c r="A480" s="34" t="s">
        <v>52</v>
      </c>
      <c r="B480" s="34" t="s">
        <v>221</v>
      </c>
      <c r="C480" s="34" t="s">
        <v>65</v>
      </c>
      <c r="D480" s="34" t="s">
        <v>225</v>
      </c>
      <c r="E480" s="32">
        <v>6</v>
      </c>
      <c r="F480" s="34" t="s">
        <v>151</v>
      </c>
      <c r="G480" s="35">
        <v>0.14488968944900005</v>
      </c>
    </row>
    <row r="481" spans="1:7" x14ac:dyDescent="0.2">
      <c r="A481" s="34" t="s">
        <v>52</v>
      </c>
      <c r="B481" s="34" t="s">
        <v>221</v>
      </c>
      <c r="C481" s="34" t="s">
        <v>223</v>
      </c>
      <c r="D481" s="34" t="s">
        <v>226</v>
      </c>
      <c r="E481" s="32">
        <v>6</v>
      </c>
      <c r="F481" s="34" t="s">
        <v>151</v>
      </c>
      <c r="G481" s="35">
        <v>1.4397773448999998E-2</v>
      </c>
    </row>
    <row r="482" spans="1:7" x14ac:dyDescent="0.2">
      <c r="A482" s="34" t="s">
        <v>75</v>
      </c>
      <c r="B482" s="34" t="s">
        <v>75</v>
      </c>
      <c r="C482" s="34" t="s">
        <v>65</v>
      </c>
      <c r="D482" s="34" t="s">
        <v>233</v>
      </c>
      <c r="E482" s="32">
        <v>6</v>
      </c>
      <c r="F482" s="34" t="s">
        <v>151</v>
      </c>
      <c r="G482" s="35">
        <v>1.5E-3</v>
      </c>
    </row>
    <row r="483" spans="1:7" x14ac:dyDescent="0.2">
      <c r="A483" s="34" t="s">
        <v>75</v>
      </c>
      <c r="B483" s="34" t="s">
        <v>75</v>
      </c>
      <c r="C483" s="34" t="s">
        <v>65</v>
      </c>
      <c r="D483" s="34" t="s">
        <v>227</v>
      </c>
      <c r="E483" s="32">
        <v>6</v>
      </c>
      <c r="F483" s="34" t="s">
        <v>151</v>
      </c>
      <c r="G483" s="35">
        <v>1.5E-3</v>
      </c>
    </row>
    <row r="484" spans="1:7" x14ac:dyDescent="0.2">
      <c r="A484" s="34" t="s">
        <v>75</v>
      </c>
      <c r="B484" s="34" t="s">
        <v>75</v>
      </c>
      <c r="C484" s="34" t="s">
        <v>65</v>
      </c>
      <c r="D484" s="34" t="s">
        <v>228</v>
      </c>
      <c r="E484" s="32">
        <v>6</v>
      </c>
      <c r="F484" s="34" t="s">
        <v>151</v>
      </c>
      <c r="G484" s="35">
        <v>1.5E-3</v>
      </c>
    </row>
    <row r="485" spans="1:7" x14ac:dyDescent="0.2">
      <c r="A485" s="34" t="s">
        <v>75</v>
      </c>
      <c r="B485" s="34" t="s">
        <v>75</v>
      </c>
      <c r="C485" s="34" t="s">
        <v>65</v>
      </c>
      <c r="D485" s="34" t="s">
        <v>229</v>
      </c>
      <c r="E485" s="32">
        <v>6</v>
      </c>
      <c r="F485" s="34" t="s">
        <v>151</v>
      </c>
      <c r="G485" s="35">
        <v>1.5E-3</v>
      </c>
    </row>
    <row r="486" spans="1:7" x14ac:dyDescent="0.2">
      <c r="A486" s="34" t="s">
        <v>75</v>
      </c>
      <c r="B486" s="34" t="s">
        <v>75</v>
      </c>
      <c r="C486" s="34" t="s">
        <v>65</v>
      </c>
      <c r="D486" s="34" t="s">
        <v>234</v>
      </c>
      <c r="E486" s="32">
        <v>6</v>
      </c>
      <c r="F486" s="34" t="s">
        <v>151</v>
      </c>
      <c r="G486" s="35">
        <v>0.31224782861</v>
      </c>
    </row>
    <row r="487" spans="1:7" x14ac:dyDescent="0.2">
      <c r="A487" s="34" t="s">
        <v>75</v>
      </c>
      <c r="B487" s="34" t="s">
        <v>75</v>
      </c>
      <c r="C487" s="34" t="s">
        <v>223</v>
      </c>
      <c r="D487" s="34" t="s">
        <v>230</v>
      </c>
      <c r="E487" s="32">
        <v>6</v>
      </c>
      <c r="F487" s="34" t="s">
        <v>151</v>
      </c>
      <c r="G487" s="35">
        <v>1.25E-3</v>
      </c>
    </row>
    <row r="488" spans="1:7" x14ac:dyDescent="0.2">
      <c r="A488" s="34" t="s">
        <v>75</v>
      </c>
      <c r="B488" s="34" t="s">
        <v>75</v>
      </c>
      <c r="C488" s="34" t="s">
        <v>223</v>
      </c>
      <c r="D488" s="34" t="s">
        <v>231</v>
      </c>
      <c r="E488" s="32">
        <v>6</v>
      </c>
      <c r="F488" s="34" t="s">
        <v>151</v>
      </c>
      <c r="G488" s="35">
        <v>1.34E-3</v>
      </c>
    </row>
    <row r="489" spans="1:7" x14ac:dyDescent="0.2">
      <c r="A489" s="34" t="s">
        <v>75</v>
      </c>
      <c r="B489" s="34" t="s">
        <v>75</v>
      </c>
      <c r="C489" s="34" t="s">
        <v>223</v>
      </c>
      <c r="D489" s="34" t="s">
        <v>235</v>
      </c>
      <c r="E489" s="32">
        <v>6</v>
      </c>
      <c r="F489" s="34" t="s">
        <v>151</v>
      </c>
      <c r="G489" s="35">
        <v>1.5E-3</v>
      </c>
    </row>
    <row r="490" spans="1:7" x14ac:dyDescent="0.2">
      <c r="A490" s="34" t="s">
        <v>75</v>
      </c>
      <c r="B490" s="34" t="s">
        <v>75</v>
      </c>
      <c r="C490" s="34" t="s">
        <v>223</v>
      </c>
      <c r="D490" s="34" t="s">
        <v>232</v>
      </c>
      <c r="E490" s="32">
        <v>6</v>
      </c>
      <c r="F490" s="34" t="s">
        <v>151</v>
      </c>
      <c r="G490" s="35">
        <v>1.415E-3</v>
      </c>
    </row>
    <row r="491" spans="1:7" x14ac:dyDescent="0.2">
      <c r="A491" s="34" t="s">
        <v>75</v>
      </c>
      <c r="B491" s="34" t="s">
        <v>75</v>
      </c>
      <c r="C491" s="34" t="s">
        <v>223</v>
      </c>
      <c r="D491" s="34" t="s">
        <v>236</v>
      </c>
      <c r="E491" s="32">
        <v>6</v>
      </c>
      <c r="F491" s="34" t="s">
        <v>151</v>
      </c>
      <c r="G491" s="35">
        <v>1.3699999999999999E-3</v>
      </c>
    </row>
    <row r="492" spans="1:7" x14ac:dyDescent="0.2">
      <c r="A492" s="34" t="s">
        <v>75</v>
      </c>
      <c r="B492" s="34" t="s">
        <v>221</v>
      </c>
      <c r="C492" s="34" t="s">
        <v>65</v>
      </c>
      <c r="D492" s="34" t="s">
        <v>222</v>
      </c>
      <c r="E492" s="32">
        <v>6</v>
      </c>
      <c r="F492" s="34" t="s">
        <v>151</v>
      </c>
      <c r="G492" s="35">
        <v>1.5E-3</v>
      </c>
    </row>
    <row r="493" spans="1:7" x14ac:dyDescent="0.2">
      <c r="A493" s="34" t="s">
        <v>75</v>
      </c>
      <c r="B493" s="34" t="s">
        <v>221</v>
      </c>
      <c r="C493" s="34" t="s">
        <v>223</v>
      </c>
      <c r="D493" s="34" t="s">
        <v>224</v>
      </c>
      <c r="E493" s="32">
        <v>6</v>
      </c>
      <c r="F493" s="34" t="s">
        <v>151</v>
      </c>
      <c r="G493" s="35">
        <v>1.5E-3</v>
      </c>
    </row>
    <row r="494" spans="1:7" x14ac:dyDescent="0.2">
      <c r="A494" s="34" t="s">
        <v>52</v>
      </c>
      <c r="B494" s="34" t="s">
        <v>52</v>
      </c>
      <c r="C494" s="34" t="s">
        <v>65</v>
      </c>
      <c r="D494" s="34" t="s">
        <v>237</v>
      </c>
      <c r="E494" s="32">
        <v>6</v>
      </c>
      <c r="F494" s="34" t="s">
        <v>151</v>
      </c>
      <c r="G494" s="35">
        <v>1E-3</v>
      </c>
    </row>
    <row r="495" spans="1:7" x14ac:dyDescent="0.2">
      <c r="A495" s="34" t="s">
        <v>52</v>
      </c>
      <c r="B495" s="34" t="s">
        <v>52</v>
      </c>
      <c r="C495" s="34" t="s">
        <v>65</v>
      </c>
      <c r="D495" s="34" t="s">
        <v>238</v>
      </c>
      <c r="E495" s="32">
        <v>6</v>
      </c>
      <c r="F495" s="34" t="s">
        <v>151</v>
      </c>
      <c r="G495" s="35">
        <v>1E-3</v>
      </c>
    </row>
    <row r="496" spans="1:7" x14ac:dyDescent="0.2">
      <c r="A496" s="34" t="s">
        <v>52</v>
      </c>
      <c r="B496" s="34" t="s">
        <v>52</v>
      </c>
      <c r="C496" s="34" t="s">
        <v>65</v>
      </c>
      <c r="D496" s="34" t="s">
        <v>239</v>
      </c>
      <c r="E496" s="32">
        <v>6</v>
      </c>
      <c r="F496" s="34" t="s">
        <v>151</v>
      </c>
      <c r="G496" s="35">
        <v>1E-3</v>
      </c>
    </row>
    <row r="497" spans="1:7" x14ac:dyDescent="0.2">
      <c r="A497" s="34" t="s">
        <v>52</v>
      </c>
      <c r="B497" s="34" t="s">
        <v>52</v>
      </c>
      <c r="C497" s="34" t="s">
        <v>65</v>
      </c>
      <c r="D497" s="34" t="s">
        <v>240</v>
      </c>
      <c r="E497" s="32">
        <v>6</v>
      </c>
      <c r="F497" s="34" t="s">
        <v>151</v>
      </c>
      <c r="G497" s="35">
        <v>1E-3</v>
      </c>
    </row>
    <row r="498" spans="1:7" x14ac:dyDescent="0.2">
      <c r="A498" s="34" t="s">
        <v>52</v>
      </c>
      <c r="B498" s="34" t="s">
        <v>52</v>
      </c>
      <c r="C498" s="34" t="s">
        <v>65</v>
      </c>
      <c r="D498" s="34" t="s">
        <v>245</v>
      </c>
      <c r="E498" s="32">
        <v>6</v>
      </c>
      <c r="F498" s="34" t="s">
        <v>151</v>
      </c>
      <c r="G498" s="35">
        <v>1E-3</v>
      </c>
    </row>
    <row r="499" spans="1:7" x14ac:dyDescent="0.2">
      <c r="A499" s="34" t="s">
        <v>52</v>
      </c>
      <c r="B499" s="34" t="s">
        <v>52</v>
      </c>
      <c r="C499" s="34" t="s">
        <v>223</v>
      </c>
      <c r="D499" s="34" t="s">
        <v>241</v>
      </c>
      <c r="E499" s="32">
        <v>6</v>
      </c>
      <c r="F499" s="34" t="s">
        <v>151</v>
      </c>
      <c r="G499" s="35">
        <v>3.0000000000000001E-3</v>
      </c>
    </row>
    <row r="500" spans="1:7" x14ac:dyDescent="0.2">
      <c r="A500" s="34" t="s">
        <v>52</v>
      </c>
      <c r="B500" s="34" t="s">
        <v>52</v>
      </c>
      <c r="C500" s="34" t="s">
        <v>223</v>
      </c>
      <c r="D500" s="34" t="s">
        <v>246</v>
      </c>
      <c r="E500" s="32">
        <v>6</v>
      </c>
      <c r="F500" s="34" t="s">
        <v>151</v>
      </c>
      <c r="G500" s="35">
        <v>3.0000000000000001E-3</v>
      </c>
    </row>
    <row r="501" spans="1:7" x14ac:dyDescent="0.2">
      <c r="A501" s="34" t="s">
        <v>52</v>
      </c>
      <c r="B501" s="34" t="s">
        <v>52</v>
      </c>
      <c r="C501" s="34" t="s">
        <v>223</v>
      </c>
      <c r="D501" s="34" t="s">
        <v>242</v>
      </c>
      <c r="E501" s="32">
        <v>6</v>
      </c>
      <c r="F501" s="34" t="s">
        <v>151</v>
      </c>
      <c r="G501" s="35">
        <v>3.0000000000000001E-3</v>
      </c>
    </row>
    <row r="502" spans="1:7" x14ac:dyDescent="0.2">
      <c r="A502" s="34" t="s">
        <v>52</v>
      </c>
      <c r="B502" s="34" t="s">
        <v>52</v>
      </c>
      <c r="C502" s="34" t="s">
        <v>223</v>
      </c>
      <c r="D502" s="34" t="s">
        <v>243</v>
      </c>
      <c r="E502" s="32">
        <v>6</v>
      </c>
      <c r="F502" s="34" t="s">
        <v>151</v>
      </c>
      <c r="G502" s="35">
        <v>3.0000000000000001E-3</v>
      </c>
    </row>
    <row r="503" spans="1:7" x14ac:dyDescent="0.2">
      <c r="A503" s="34" t="s">
        <v>52</v>
      </c>
      <c r="B503" s="34" t="s">
        <v>52</v>
      </c>
      <c r="C503" s="34" t="s">
        <v>223</v>
      </c>
      <c r="D503" s="34" t="s">
        <v>244</v>
      </c>
      <c r="E503" s="32">
        <v>6</v>
      </c>
      <c r="F503" s="34" t="s">
        <v>151</v>
      </c>
      <c r="G503" s="35">
        <v>3.0000000000000001E-3</v>
      </c>
    </row>
    <row r="504" spans="1:7" x14ac:dyDescent="0.2">
      <c r="A504" s="34" t="s">
        <v>52</v>
      </c>
      <c r="B504" s="34" t="s">
        <v>221</v>
      </c>
      <c r="C504" s="34" t="s">
        <v>65</v>
      </c>
      <c r="D504" s="34" t="s">
        <v>225</v>
      </c>
      <c r="E504" s="32">
        <v>6</v>
      </c>
      <c r="F504" s="34" t="s">
        <v>151</v>
      </c>
      <c r="G504" s="35">
        <v>1E-3</v>
      </c>
    </row>
    <row r="505" spans="1:7" x14ac:dyDescent="0.2">
      <c r="A505" s="34" t="s">
        <v>52</v>
      </c>
      <c r="B505" s="34" t="s">
        <v>221</v>
      </c>
      <c r="C505" s="34" t="s">
        <v>223</v>
      </c>
      <c r="D505" s="34" t="s">
        <v>226</v>
      </c>
      <c r="E505" s="32">
        <v>6</v>
      </c>
      <c r="F505" s="34" t="s">
        <v>151</v>
      </c>
      <c r="G505" s="35">
        <v>3.0000000000000001E-3</v>
      </c>
    </row>
    <row r="506" spans="1:7" x14ac:dyDescent="0.2">
      <c r="A506" s="34" t="s">
        <v>75</v>
      </c>
      <c r="B506" s="34" t="s">
        <v>75</v>
      </c>
      <c r="C506" s="34" t="s">
        <v>65</v>
      </c>
      <c r="D506" s="34" t="s">
        <v>233</v>
      </c>
      <c r="E506" s="32">
        <v>9</v>
      </c>
      <c r="F506" s="34" t="s">
        <v>151</v>
      </c>
      <c r="G506" s="35">
        <v>0.21782904922999999</v>
      </c>
    </row>
    <row r="507" spans="1:7" x14ac:dyDescent="0.2">
      <c r="A507" s="34" t="s">
        <v>75</v>
      </c>
      <c r="B507" s="34" t="s">
        <v>75</v>
      </c>
      <c r="C507" s="34" t="s">
        <v>65</v>
      </c>
      <c r="D507" s="34" t="s">
        <v>227</v>
      </c>
      <c r="E507" s="32">
        <v>9</v>
      </c>
      <c r="F507" s="34" t="s">
        <v>151</v>
      </c>
      <c r="G507" s="35">
        <v>0.23499960923000002</v>
      </c>
    </row>
    <row r="508" spans="1:7" x14ac:dyDescent="0.2">
      <c r="A508" s="34" t="s">
        <v>75</v>
      </c>
      <c r="B508" s="34" t="s">
        <v>75</v>
      </c>
      <c r="C508" s="34" t="s">
        <v>65</v>
      </c>
      <c r="D508" s="34" t="s">
        <v>228</v>
      </c>
      <c r="E508" s="32">
        <v>9</v>
      </c>
      <c r="F508" s="34" t="s">
        <v>151</v>
      </c>
      <c r="G508" s="35">
        <v>0.35076635323000005</v>
      </c>
    </row>
    <row r="509" spans="1:7" x14ac:dyDescent="0.2">
      <c r="A509" s="34" t="s">
        <v>75</v>
      </c>
      <c r="B509" s="34" t="s">
        <v>75</v>
      </c>
      <c r="C509" s="34" t="s">
        <v>65</v>
      </c>
      <c r="D509" s="34" t="s">
        <v>229</v>
      </c>
      <c r="E509" s="32">
        <v>9</v>
      </c>
      <c r="F509" s="34" t="s">
        <v>151</v>
      </c>
      <c r="G509" s="35">
        <v>0.27952670522999995</v>
      </c>
    </row>
    <row r="510" spans="1:7" x14ac:dyDescent="0.2">
      <c r="A510" s="34" t="s">
        <v>75</v>
      </c>
      <c r="B510" s="34" t="s">
        <v>75</v>
      </c>
      <c r="C510" s="34" t="s">
        <v>65</v>
      </c>
      <c r="D510" s="34" t="s">
        <v>234</v>
      </c>
      <c r="E510" s="32">
        <v>9</v>
      </c>
      <c r="F510" s="34" t="s">
        <v>151</v>
      </c>
      <c r="G510" s="35">
        <v>1.3452326492300004</v>
      </c>
    </row>
    <row r="511" spans="1:7" x14ac:dyDescent="0.2">
      <c r="A511" s="34" t="s">
        <v>75</v>
      </c>
      <c r="B511" s="34" t="s">
        <v>75</v>
      </c>
      <c r="C511" s="34" t="s">
        <v>223</v>
      </c>
      <c r="D511" s="34" t="s">
        <v>230</v>
      </c>
      <c r="E511" s="32">
        <v>9</v>
      </c>
      <c r="F511" s="34" t="s">
        <v>151</v>
      </c>
      <c r="G511" s="35">
        <v>4.493111230000001E-3</v>
      </c>
    </row>
    <row r="512" spans="1:7" x14ac:dyDescent="0.2">
      <c r="A512" s="34" t="s">
        <v>75</v>
      </c>
      <c r="B512" s="34" t="s">
        <v>75</v>
      </c>
      <c r="C512" s="34" t="s">
        <v>223</v>
      </c>
      <c r="D512" s="34" t="s">
        <v>231</v>
      </c>
      <c r="E512" s="32">
        <v>9</v>
      </c>
      <c r="F512" s="34" t="s">
        <v>151</v>
      </c>
      <c r="G512" s="35">
        <v>3.7256548300000011E-3</v>
      </c>
    </row>
    <row r="513" spans="1:7" x14ac:dyDescent="0.2">
      <c r="A513" s="34" t="s">
        <v>75</v>
      </c>
      <c r="B513" s="34" t="s">
        <v>75</v>
      </c>
      <c r="C513" s="34" t="s">
        <v>223</v>
      </c>
      <c r="D513" s="34" t="s">
        <v>235</v>
      </c>
      <c r="E513" s="32">
        <v>9</v>
      </c>
      <c r="F513" s="34" t="s">
        <v>151</v>
      </c>
      <c r="G513" s="35">
        <v>3.4257964300000009E-3</v>
      </c>
    </row>
    <row r="514" spans="1:7" x14ac:dyDescent="0.2">
      <c r="A514" s="34" t="s">
        <v>75</v>
      </c>
      <c r="B514" s="34" t="s">
        <v>75</v>
      </c>
      <c r="C514" s="34" t="s">
        <v>223</v>
      </c>
      <c r="D514" s="34" t="s">
        <v>232</v>
      </c>
      <c r="E514" s="32">
        <v>9</v>
      </c>
      <c r="F514" s="34" t="s">
        <v>151</v>
      </c>
      <c r="G514" s="35">
        <v>1.436116403E-2</v>
      </c>
    </row>
    <row r="515" spans="1:7" x14ac:dyDescent="0.2">
      <c r="A515" s="34" t="s">
        <v>75</v>
      </c>
      <c r="B515" s="34" t="s">
        <v>75</v>
      </c>
      <c r="C515" s="34" t="s">
        <v>223</v>
      </c>
      <c r="D515" s="34" t="s">
        <v>236</v>
      </c>
      <c r="E515" s="32">
        <v>9</v>
      </c>
      <c r="F515" s="34" t="s">
        <v>151</v>
      </c>
      <c r="G515" s="35">
        <v>3.2924552299999996E-3</v>
      </c>
    </row>
    <row r="516" spans="1:7" x14ac:dyDescent="0.2">
      <c r="A516" s="34" t="s">
        <v>75</v>
      </c>
      <c r="B516" s="34" t="s">
        <v>221</v>
      </c>
      <c r="C516" s="34" t="s">
        <v>65</v>
      </c>
      <c r="D516" s="34" t="s">
        <v>222</v>
      </c>
      <c r="E516" s="32">
        <v>9</v>
      </c>
      <c r="F516" s="34" t="s">
        <v>151</v>
      </c>
      <c r="G516" s="35">
        <v>0.38790168923000007</v>
      </c>
    </row>
    <row r="517" spans="1:7" x14ac:dyDescent="0.2">
      <c r="A517" s="34" t="s">
        <v>75</v>
      </c>
      <c r="B517" s="34" t="s">
        <v>221</v>
      </c>
      <c r="C517" s="34" t="s">
        <v>223</v>
      </c>
      <c r="D517" s="34" t="s">
        <v>224</v>
      </c>
      <c r="E517" s="32">
        <v>9</v>
      </c>
      <c r="F517" s="34" t="s">
        <v>151</v>
      </c>
      <c r="G517" s="35">
        <v>2.449762523E-2</v>
      </c>
    </row>
    <row r="518" spans="1:7" x14ac:dyDescent="0.2">
      <c r="A518" s="34" t="s">
        <v>52</v>
      </c>
      <c r="B518" s="34" t="s">
        <v>52</v>
      </c>
      <c r="C518" s="34" t="s">
        <v>65</v>
      </c>
      <c r="D518" s="34" t="s">
        <v>237</v>
      </c>
      <c r="E518" s="32">
        <v>9</v>
      </c>
      <c r="F518" s="34" t="s">
        <v>151</v>
      </c>
      <c r="G518" s="35">
        <v>0.1857775254</v>
      </c>
    </row>
    <row r="519" spans="1:7" x14ac:dyDescent="0.2">
      <c r="A519" s="34" t="s">
        <v>52</v>
      </c>
      <c r="B519" s="34" t="s">
        <v>52</v>
      </c>
      <c r="C519" s="34" t="s">
        <v>65</v>
      </c>
      <c r="D519" s="34" t="s">
        <v>238</v>
      </c>
      <c r="E519" s="32">
        <v>9</v>
      </c>
      <c r="F519" s="34" t="s">
        <v>151</v>
      </c>
      <c r="G519" s="35">
        <v>0.17096512540000003</v>
      </c>
    </row>
    <row r="520" spans="1:7" x14ac:dyDescent="0.2">
      <c r="A520" s="34" t="s">
        <v>52</v>
      </c>
      <c r="B520" s="34" t="s">
        <v>52</v>
      </c>
      <c r="C520" s="34" t="s">
        <v>65</v>
      </c>
      <c r="D520" s="34" t="s">
        <v>239</v>
      </c>
      <c r="E520" s="32">
        <v>9</v>
      </c>
      <c r="F520" s="34" t="s">
        <v>151</v>
      </c>
      <c r="G520" s="35">
        <v>0.37022904539999996</v>
      </c>
    </row>
    <row r="521" spans="1:7" x14ac:dyDescent="0.2">
      <c r="A521" s="34" t="s">
        <v>52</v>
      </c>
      <c r="B521" s="34" t="s">
        <v>52</v>
      </c>
      <c r="C521" s="34" t="s">
        <v>65</v>
      </c>
      <c r="D521" s="34" t="s">
        <v>240</v>
      </c>
      <c r="E521" s="32">
        <v>9</v>
      </c>
      <c r="F521" s="34" t="s">
        <v>151</v>
      </c>
      <c r="G521" s="35">
        <v>0.29035636539999998</v>
      </c>
    </row>
    <row r="522" spans="1:7" x14ac:dyDescent="0.2">
      <c r="A522" s="34" t="s">
        <v>52</v>
      </c>
      <c r="B522" s="34" t="s">
        <v>52</v>
      </c>
      <c r="C522" s="34" t="s">
        <v>65</v>
      </c>
      <c r="D522" s="34" t="s">
        <v>245</v>
      </c>
      <c r="E522" s="32">
        <v>9</v>
      </c>
      <c r="F522" s="34" t="s">
        <v>151</v>
      </c>
      <c r="G522" s="35">
        <v>0.52685920539999986</v>
      </c>
    </row>
    <row r="523" spans="1:7" x14ac:dyDescent="0.2">
      <c r="A523" s="34" t="s">
        <v>52</v>
      </c>
      <c r="B523" s="34" t="s">
        <v>52</v>
      </c>
      <c r="C523" s="34" t="s">
        <v>223</v>
      </c>
      <c r="D523" s="34" t="s">
        <v>241</v>
      </c>
      <c r="E523" s="32">
        <v>9</v>
      </c>
      <c r="F523" s="34" t="s">
        <v>151</v>
      </c>
      <c r="G523" s="35">
        <v>4.9110017399999997E-2</v>
      </c>
    </row>
    <row r="524" spans="1:7" x14ac:dyDescent="0.2">
      <c r="A524" s="34" t="s">
        <v>52</v>
      </c>
      <c r="B524" s="34" t="s">
        <v>52</v>
      </c>
      <c r="C524" s="34" t="s">
        <v>223</v>
      </c>
      <c r="D524" s="34" t="s">
        <v>246</v>
      </c>
      <c r="E524" s="32">
        <v>9</v>
      </c>
      <c r="F524" s="34" t="s">
        <v>151</v>
      </c>
      <c r="G524" s="35">
        <v>2.0977057399999999E-2</v>
      </c>
    </row>
    <row r="525" spans="1:7" x14ac:dyDescent="0.2">
      <c r="A525" s="34" t="s">
        <v>52</v>
      </c>
      <c r="B525" s="34" t="s">
        <v>52</v>
      </c>
      <c r="C525" s="34" t="s">
        <v>223</v>
      </c>
      <c r="D525" s="34" t="s">
        <v>242</v>
      </c>
      <c r="E525" s="32">
        <v>9</v>
      </c>
      <c r="F525" s="34" t="s">
        <v>151</v>
      </c>
      <c r="G525" s="35">
        <v>1.8957635800000001E-2</v>
      </c>
    </row>
    <row r="526" spans="1:7" x14ac:dyDescent="0.2">
      <c r="A526" s="34" t="s">
        <v>52</v>
      </c>
      <c r="B526" s="34" t="s">
        <v>52</v>
      </c>
      <c r="C526" s="34" t="s">
        <v>223</v>
      </c>
      <c r="D526" s="34" t="s">
        <v>243</v>
      </c>
      <c r="E526" s="32">
        <v>9</v>
      </c>
      <c r="F526" s="34" t="s">
        <v>151</v>
      </c>
      <c r="G526" s="35">
        <v>9.9107985999999978E-3</v>
      </c>
    </row>
    <row r="527" spans="1:7" x14ac:dyDescent="0.2">
      <c r="A527" s="34" t="s">
        <v>52</v>
      </c>
      <c r="B527" s="34" t="s">
        <v>52</v>
      </c>
      <c r="C527" s="34" t="s">
        <v>223</v>
      </c>
      <c r="D527" s="34" t="s">
        <v>244</v>
      </c>
      <c r="E527" s="32">
        <v>9</v>
      </c>
      <c r="F527" s="34" t="s">
        <v>151</v>
      </c>
      <c r="G527" s="35">
        <v>1.1163180999999998E-2</v>
      </c>
    </row>
    <row r="528" spans="1:7" x14ac:dyDescent="0.2">
      <c r="A528" s="34" t="s">
        <v>52</v>
      </c>
      <c r="B528" s="34" t="s">
        <v>221</v>
      </c>
      <c r="C528" s="34" t="s">
        <v>65</v>
      </c>
      <c r="D528" s="34" t="s">
        <v>225</v>
      </c>
      <c r="E528" s="32">
        <v>9</v>
      </c>
      <c r="F528" s="34" t="s">
        <v>151</v>
      </c>
      <c r="G528" s="35">
        <v>0.14711608540000001</v>
      </c>
    </row>
    <row r="529" spans="1:7" x14ac:dyDescent="0.2">
      <c r="A529" s="34" t="s">
        <v>52</v>
      </c>
      <c r="B529" s="34" t="s">
        <v>221</v>
      </c>
      <c r="C529" s="34" t="s">
        <v>223</v>
      </c>
      <c r="D529" s="34" t="s">
        <v>226</v>
      </c>
      <c r="E529" s="32">
        <v>9</v>
      </c>
      <c r="F529" s="34" t="s">
        <v>151</v>
      </c>
      <c r="G529" s="35">
        <v>1.1856966000000019E-3</v>
      </c>
    </row>
    <row r="530" spans="1:7" x14ac:dyDescent="0.2">
      <c r="A530" s="34" t="s">
        <v>75</v>
      </c>
      <c r="B530" s="34" t="s">
        <v>75</v>
      </c>
      <c r="C530" s="34" t="s">
        <v>65</v>
      </c>
      <c r="D530" s="34" t="s">
        <v>233</v>
      </c>
      <c r="E530" s="32">
        <v>9</v>
      </c>
      <c r="F530" s="34" t="s">
        <v>151</v>
      </c>
      <c r="G530" s="35">
        <v>1.5E-3</v>
      </c>
    </row>
    <row r="531" spans="1:7" x14ac:dyDescent="0.2">
      <c r="A531" s="34" t="s">
        <v>75</v>
      </c>
      <c r="B531" s="34" t="s">
        <v>75</v>
      </c>
      <c r="C531" s="34" t="s">
        <v>65</v>
      </c>
      <c r="D531" s="34" t="s">
        <v>227</v>
      </c>
      <c r="E531" s="32">
        <v>9</v>
      </c>
      <c r="F531" s="34" t="s">
        <v>151</v>
      </c>
      <c r="G531" s="35">
        <v>1.5E-3</v>
      </c>
    </row>
    <row r="532" spans="1:7" x14ac:dyDescent="0.2">
      <c r="A532" s="34" t="s">
        <v>75</v>
      </c>
      <c r="B532" s="34" t="s">
        <v>75</v>
      </c>
      <c r="C532" s="34" t="s">
        <v>65</v>
      </c>
      <c r="D532" s="34" t="s">
        <v>228</v>
      </c>
      <c r="E532" s="32">
        <v>9</v>
      </c>
      <c r="F532" s="34" t="s">
        <v>151</v>
      </c>
      <c r="G532" s="35">
        <v>1.5E-3</v>
      </c>
    </row>
    <row r="533" spans="1:7" x14ac:dyDescent="0.2">
      <c r="A533" s="34" t="s">
        <v>75</v>
      </c>
      <c r="B533" s="34" t="s">
        <v>75</v>
      </c>
      <c r="C533" s="34" t="s">
        <v>65</v>
      </c>
      <c r="D533" s="34" t="s">
        <v>229</v>
      </c>
      <c r="E533" s="32">
        <v>9</v>
      </c>
      <c r="F533" s="34" t="s">
        <v>151</v>
      </c>
      <c r="G533" s="35">
        <v>1.5E-3</v>
      </c>
    </row>
    <row r="534" spans="1:7" x14ac:dyDescent="0.2">
      <c r="A534" s="34" t="s">
        <v>75</v>
      </c>
      <c r="B534" s="34" t="s">
        <v>75</v>
      </c>
      <c r="C534" s="34" t="s">
        <v>65</v>
      </c>
      <c r="D534" s="34" t="s">
        <v>234</v>
      </c>
      <c r="E534" s="32">
        <v>9</v>
      </c>
      <c r="F534" s="34" t="s">
        <v>151</v>
      </c>
      <c r="G534" s="35">
        <v>1.5E-3</v>
      </c>
    </row>
    <row r="535" spans="1:7" x14ac:dyDescent="0.2">
      <c r="A535" s="34" t="s">
        <v>75</v>
      </c>
      <c r="B535" s="34" t="s">
        <v>75</v>
      </c>
      <c r="C535" s="34" t="s">
        <v>223</v>
      </c>
      <c r="D535" s="34" t="s">
        <v>230</v>
      </c>
      <c r="E535" s="32">
        <v>9</v>
      </c>
      <c r="F535" s="34" t="s">
        <v>151</v>
      </c>
      <c r="G535" s="35">
        <v>1.5E-3</v>
      </c>
    </row>
    <row r="536" spans="1:7" x14ac:dyDescent="0.2">
      <c r="A536" s="34" t="s">
        <v>75</v>
      </c>
      <c r="B536" s="34" t="s">
        <v>75</v>
      </c>
      <c r="C536" s="34" t="s">
        <v>223</v>
      </c>
      <c r="D536" s="34" t="s">
        <v>231</v>
      </c>
      <c r="E536" s="32">
        <v>9</v>
      </c>
      <c r="F536" s="34" t="s">
        <v>151</v>
      </c>
      <c r="G536" s="35">
        <v>1.250595709739E-3</v>
      </c>
    </row>
    <row r="537" spans="1:7" x14ac:dyDescent="0.2">
      <c r="A537" s="34" t="s">
        <v>75</v>
      </c>
      <c r="B537" s="34" t="s">
        <v>75</v>
      </c>
      <c r="C537" s="34" t="s">
        <v>223</v>
      </c>
      <c r="D537" s="34" t="s">
        <v>235</v>
      </c>
      <c r="E537" s="32">
        <v>9</v>
      </c>
      <c r="F537" s="34" t="s">
        <v>151</v>
      </c>
      <c r="G537" s="35">
        <v>1.5E-3</v>
      </c>
    </row>
    <row r="538" spans="1:7" x14ac:dyDescent="0.2">
      <c r="A538" s="34" t="s">
        <v>75</v>
      </c>
      <c r="B538" s="34" t="s">
        <v>75</v>
      </c>
      <c r="C538" s="34" t="s">
        <v>223</v>
      </c>
      <c r="D538" s="34" t="s">
        <v>232</v>
      </c>
      <c r="E538" s="32">
        <v>9</v>
      </c>
      <c r="F538" s="34" t="s">
        <v>151</v>
      </c>
      <c r="G538" s="35">
        <v>1.5E-3</v>
      </c>
    </row>
    <row r="539" spans="1:7" x14ac:dyDescent="0.2">
      <c r="A539" s="34" t="s">
        <v>75</v>
      </c>
      <c r="B539" s="34" t="s">
        <v>75</v>
      </c>
      <c r="C539" s="34" t="s">
        <v>223</v>
      </c>
      <c r="D539" s="34" t="s">
        <v>236</v>
      </c>
      <c r="E539" s="32">
        <v>9</v>
      </c>
      <c r="F539" s="34" t="s">
        <v>151</v>
      </c>
      <c r="G539" s="35">
        <v>1.3157604252759998E-3</v>
      </c>
    </row>
    <row r="540" spans="1:7" x14ac:dyDescent="0.2">
      <c r="A540" s="34" t="s">
        <v>75</v>
      </c>
      <c r="B540" s="34" t="s">
        <v>221</v>
      </c>
      <c r="C540" s="34" t="s">
        <v>65</v>
      </c>
      <c r="D540" s="34" t="s">
        <v>222</v>
      </c>
      <c r="E540" s="32">
        <v>9</v>
      </c>
      <c r="F540" s="34" t="s">
        <v>151</v>
      </c>
      <c r="G540" s="35">
        <v>1.5E-3</v>
      </c>
    </row>
    <row r="541" spans="1:7" x14ac:dyDescent="0.2">
      <c r="A541" s="34" t="s">
        <v>75</v>
      </c>
      <c r="B541" s="34" t="s">
        <v>221</v>
      </c>
      <c r="C541" s="34" t="s">
        <v>223</v>
      </c>
      <c r="D541" s="34" t="s">
        <v>224</v>
      </c>
      <c r="E541" s="32">
        <v>9</v>
      </c>
      <c r="F541" s="34" t="s">
        <v>151</v>
      </c>
      <c r="G541" s="35">
        <v>1.5E-3</v>
      </c>
    </row>
    <row r="542" spans="1:7" x14ac:dyDescent="0.2">
      <c r="A542" s="34" t="s">
        <v>52</v>
      </c>
      <c r="B542" s="34" t="s">
        <v>52</v>
      </c>
      <c r="C542" s="34" t="s">
        <v>65</v>
      </c>
      <c r="D542" s="34" t="s">
        <v>237</v>
      </c>
      <c r="E542" s="32">
        <v>9</v>
      </c>
      <c r="F542" s="34" t="s">
        <v>151</v>
      </c>
      <c r="G542" s="35">
        <v>5.0000000000000001E-4</v>
      </c>
    </row>
    <row r="543" spans="1:7" x14ac:dyDescent="0.2">
      <c r="A543" s="34" t="s">
        <v>52</v>
      </c>
      <c r="B543" s="34" t="s">
        <v>52</v>
      </c>
      <c r="C543" s="34" t="s">
        <v>65</v>
      </c>
      <c r="D543" s="34" t="s">
        <v>238</v>
      </c>
      <c r="E543" s="32">
        <v>9</v>
      </c>
      <c r="F543" s="34" t="s">
        <v>151</v>
      </c>
      <c r="G543" s="35">
        <v>5.0000000000000001E-4</v>
      </c>
    </row>
    <row r="544" spans="1:7" x14ac:dyDescent="0.2">
      <c r="A544" s="34" t="s">
        <v>52</v>
      </c>
      <c r="B544" s="34" t="s">
        <v>52</v>
      </c>
      <c r="C544" s="34" t="s">
        <v>65</v>
      </c>
      <c r="D544" s="34" t="s">
        <v>239</v>
      </c>
      <c r="E544" s="32">
        <v>9</v>
      </c>
      <c r="F544" s="34" t="s">
        <v>151</v>
      </c>
      <c r="G544" s="35">
        <v>5.0000000000000001E-4</v>
      </c>
    </row>
    <row r="545" spans="1:7" x14ac:dyDescent="0.2">
      <c r="A545" s="34" t="s">
        <v>52</v>
      </c>
      <c r="B545" s="34" t="s">
        <v>52</v>
      </c>
      <c r="C545" s="34" t="s">
        <v>65</v>
      </c>
      <c r="D545" s="34" t="s">
        <v>240</v>
      </c>
      <c r="E545" s="32">
        <v>9</v>
      </c>
      <c r="F545" s="34" t="s">
        <v>151</v>
      </c>
      <c r="G545" s="35">
        <v>5.0000000000000001E-4</v>
      </c>
    </row>
    <row r="546" spans="1:7" x14ac:dyDescent="0.2">
      <c r="A546" s="34" t="s">
        <v>52</v>
      </c>
      <c r="B546" s="34" t="s">
        <v>52</v>
      </c>
      <c r="C546" s="34" t="s">
        <v>65</v>
      </c>
      <c r="D546" s="34" t="s">
        <v>245</v>
      </c>
      <c r="E546" s="32">
        <v>9</v>
      </c>
      <c r="F546" s="34" t="s">
        <v>151</v>
      </c>
      <c r="G546" s="35">
        <v>5.0000000000000001E-4</v>
      </c>
    </row>
    <row r="547" spans="1:7" x14ac:dyDescent="0.2">
      <c r="A547" s="34" t="s">
        <v>52</v>
      </c>
      <c r="B547" s="34" t="s">
        <v>52</v>
      </c>
      <c r="C547" s="34" t="s">
        <v>223</v>
      </c>
      <c r="D547" s="34" t="s">
        <v>241</v>
      </c>
      <c r="E547" s="32">
        <v>9</v>
      </c>
      <c r="F547" s="34" t="s">
        <v>151</v>
      </c>
      <c r="G547" s="35">
        <v>3.0000000000000001E-3</v>
      </c>
    </row>
    <row r="548" spans="1:7" x14ac:dyDescent="0.2">
      <c r="A548" s="34" t="s">
        <v>52</v>
      </c>
      <c r="B548" s="34" t="s">
        <v>52</v>
      </c>
      <c r="C548" s="34" t="s">
        <v>223</v>
      </c>
      <c r="D548" s="34" t="s">
        <v>246</v>
      </c>
      <c r="E548" s="32">
        <v>9</v>
      </c>
      <c r="F548" s="34" t="s">
        <v>151</v>
      </c>
      <c r="G548" s="35">
        <v>3.0000000000000001E-3</v>
      </c>
    </row>
    <row r="549" spans="1:7" x14ac:dyDescent="0.2">
      <c r="A549" s="34" t="s">
        <v>52</v>
      </c>
      <c r="B549" s="34" t="s">
        <v>52</v>
      </c>
      <c r="C549" s="34" t="s">
        <v>223</v>
      </c>
      <c r="D549" s="34" t="s">
        <v>242</v>
      </c>
      <c r="E549" s="32">
        <v>9</v>
      </c>
      <c r="F549" s="34" t="s">
        <v>151</v>
      </c>
      <c r="G549" s="35">
        <v>3.0000000000000001E-3</v>
      </c>
    </row>
    <row r="550" spans="1:7" x14ac:dyDescent="0.2">
      <c r="A550" s="34" t="s">
        <v>52</v>
      </c>
      <c r="B550" s="34" t="s">
        <v>52</v>
      </c>
      <c r="C550" s="34" t="s">
        <v>223</v>
      </c>
      <c r="D550" s="34" t="s">
        <v>243</v>
      </c>
      <c r="E550" s="32">
        <v>9</v>
      </c>
      <c r="F550" s="34" t="s">
        <v>151</v>
      </c>
      <c r="G550" s="35">
        <v>3.0000000000000001E-3</v>
      </c>
    </row>
    <row r="551" spans="1:7" x14ac:dyDescent="0.2">
      <c r="A551" s="34" t="s">
        <v>52</v>
      </c>
      <c r="B551" s="34" t="s">
        <v>52</v>
      </c>
      <c r="C551" s="34" t="s">
        <v>223</v>
      </c>
      <c r="D551" s="34" t="s">
        <v>244</v>
      </c>
      <c r="E551" s="32">
        <v>9</v>
      </c>
      <c r="F551" s="34" t="s">
        <v>151</v>
      </c>
      <c r="G551" s="35">
        <v>3.0000000000000001E-3</v>
      </c>
    </row>
    <row r="552" spans="1:7" x14ac:dyDescent="0.2">
      <c r="A552" s="34" t="s">
        <v>52</v>
      </c>
      <c r="B552" s="34" t="s">
        <v>221</v>
      </c>
      <c r="C552" s="34" t="s">
        <v>65</v>
      </c>
      <c r="D552" s="34" t="s">
        <v>225</v>
      </c>
      <c r="E552" s="32">
        <v>9</v>
      </c>
      <c r="F552" s="34" t="s">
        <v>151</v>
      </c>
      <c r="G552" s="35">
        <v>5.0000000000000001E-4</v>
      </c>
    </row>
    <row r="553" spans="1:7" x14ac:dyDescent="0.2">
      <c r="A553" s="34" t="s">
        <v>52</v>
      </c>
      <c r="B553" s="34" t="s">
        <v>221</v>
      </c>
      <c r="C553" s="34" t="s">
        <v>223</v>
      </c>
      <c r="D553" s="34" t="s">
        <v>226</v>
      </c>
      <c r="E553" s="32">
        <v>9</v>
      </c>
      <c r="F553" s="34" t="s">
        <v>151</v>
      </c>
      <c r="G553" s="35">
        <v>3.0000000000000001E-3</v>
      </c>
    </row>
    <row r="554" spans="1:7" x14ac:dyDescent="0.2">
      <c r="A554" s="34" t="s">
        <v>75</v>
      </c>
      <c r="B554" s="34" t="s">
        <v>75</v>
      </c>
      <c r="C554" s="34" t="s">
        <v>65</v>
      </c>
      <c r="D554" s="34" t="s">
        <v>233</v>
      </c>
      <c r="E554" s="32">
        <v>12</v>
      </c>
      <c r="F554" s="34" t="s">
        <v>151</v>
      </c>
      <c r="G554" s="35">
        <v>0.22244623889999995</v>
      </c>
    </row>
    <row r="555" spans="1:7" x14ac:dyDescent="0.2">
      <c r="A555" s="34" t="s">
        <v>75</v>
      </c>
      <c r="B555" s="34" t="s">
        <v>75</v>
      </c>
      <c r="C555" s="34" t="s">
        <v>65</v>
      </c>
      <c r="D555" s="34" t="s">
        <v>227</v>
      </c>
      <c r="E555" s="32">
        <v>12</v>
      </c>
      <c r="F555" s="34" t="s">
        <v>151</v>
      </c>
      <c r="G555" s="35">
        <v>0.19825147889999997</v>
      </c>
    </row>
    <row r="556" spans="1:7" x14ac:dyDescent="0.2">
      <c r="A556" s="34" t="s">
        <v>75</v>
      </c>
      <c r="B556" s="34" t="s">
        <v>75</v>
      </c>
      <c r="C556" s="34" t="s">
        <v>65</v>
      </c>
      <c r="D556" s="34" t="s">
        <v>228</v>
      </c>
      <c r="E556" s="32">
        <v>12</v>
      </c>
      <c r="F556" s="34" t="s">
        <v>151</v>
      </c>
      <c r="G556" s="35">
        <v>0.1754462389</v>
      </c>
    </row>
    <row r="557" spans="1:7" x14ac:dyDescent="0.2">
      <c r="A557" s="34" t="s">
        <v>75</v>
      </c>
      <c r="B557" s="34" t="s">
        <v>75</v>
      </c>
      <c r="C557" s="34" t="s">
        <v>65</v>
      </c>
      <c r="D557" s="34" t="s">
        <v>229</v>
      </c>
      <c r="E557" s="32">
        <v>12</v>
      </c>
      <c r="F557" s="34" t="s">
        <v>151</v>
      </c>
      <c r="G557" s="35">
        <v>0.23454615889999997</v>
      </c>
    </row>
    <row r="558" spans="1:7" x14ac:dyDescent="0.2">
      <c r="A558" s="34" t="s">
        <v>75</v>
      </c>
      <c r="B558" s="34" t="s">
        <v>75</v>
      </c>
      <c r="C558" s="34" t="s">
        <v>65</v>
      </c>
      <c r="D558" s="34" t="s">
        <v>234</v>
      </c>
      <c r="E558" s="32">
        <v>12</v>
      </c>
      <c r="F558" s="34" t="s">
        <v>151</v>
      </c>
      <c r="G558" s="35">
        <v>0.17079159890000001</v>
      </c>
    </row>
    <row r="559" spans="1:7" x14ac:dyDescent="0.2">
      <c r="A559" s="34" t="s">
        <v>75</v>
      </c>
      <c r="B559" s="34" t="s">
        <v>75</v>
      </c>
      <c r="C559" s="34" t="s">
        <v>223</v>
      </c>
      <c r="D559" s="34" t="s">
        <v>230</v>
      </c>
      <c r="E559" s="32">
        <v>12</v>
      </c>
      <c r="F559" s="34" t="s">
        <v>151</v>
      </c>
      <c r="G559" s="35">
        <v>2.3742072999999985E-3</v>
      </c>
    </row>
    <row r="560" spans="1:7" x14ac:dyDescent="0.2">
      <c r="A560" s="34" t="s">
        <v>75</v>
      </c>
      <c r="B560" s="34" t="s">
        <v>75</v>
      </c>
      <c r="C560" s="34" t="s">
        <v>223</v>
      </c>
      <c r="D560" s="34" t="s">
        <v>231</v>
      </c>
      <c r="E560" s="32">
        <v>12</v>
      </c>
      <c r="F560" s="34" t="s">
        <v>151</v>
      </c>
      <c r="G560" s="35">
        <v>1.2064905700000003E-2</v>
      </c>
    </row>
    <row r="561" spans="1:7" x14ac:dyDescent="0.2">
      <c r="A561" s="34" t="s">
        <v>75</v>
      </c>
      <c r="B561" s="34" t="s">
        <v>75</v>
      </c>
      <c r="C561" s="34" t="s">
        <v>223</v>
      </c>
      <c r="D561" s="34" t="s">
        <v>235</v>
      </c>
      <c r="E561" s="32">
        <v>12</v>
      </c>
      <c r="F561" s="34" t="s">
        <v>151</v>
      </c>
      <c r="G561" s="35">
        <v>5.4490521000000007E-3</v>
      </c>
    </row>
    <row r="562" spans="1:7" x14ac:dyDescent="0.2">
      <c r="A562" s="34" t="s">
        <v>75</v>
      </c>
      <c r="B562" s="34" t="s">
        <v>75</v>
      </c>
      <c r="C562" s="34" t="s">
        <v>223</v>
      </c>
      <c r="D562" s="34" t="s">
        <v>232</v>
      </c>
      <c r="E562" s="32">
        <v>12</v>
      </c>
      <c r="F562" s="34" t="s">
        <v>151</v>
      </c>
      <c r="G562" s="35">
        <v>4.0838632999999989E-3</v>
      </c>
    </row>
    <row r="563" spans="1:7" x14ac:dyDescent="0.2">
      <c r="A563" s="34" t="s">
        <v>75</v>
      </c>
      <c r="B563" s="34" t="s">
        <v>75</v>
      </c>
      <c r="C563" s="34" t="s">
        <v>223</v>
      </c>
      <c r="D563" s="34" t="s">
        <v>236</v>
      </c>
      <c r="E563" s="32">
        <v>12</v>
      </c>
      <c r="F563" s="34" t="s">
        <v>151</v>
      </c>
      <c r="G563" s="35">
        <v>3.9435984999999993E-3</v>
      </c>
    </row>
    <row r="564" spans="1:7" x14ac:dyDescent="0.2">
      <c r="A564" s="34" t="s">
        <v>75</v>
      </c>
      <c r="B564" s="34" t="s">
        <v>221</v>
      </c>
      <c r="C564" s="34" t="s">
        <v>65</v>
      </c>
      <c r="D564" s="34" t="s">
        <v>222</v>
      </c>
      <c r="E564" s="32">
        <v>12</v>
      </c>
      <c r="F564" s="34" t="s">
        <v>151</v>
      </c>
      <c r="G564" s="35">
        <v>0.21177747889999995</v>
      </c>
    </row>
    <row r="565" spans="1:7" x14ac:dyDescent="0.2">
      <c r="A565" s="34" t="s">
        <v>75</v>
      </c>
      <c r="B565" s="34" t="s">
        <v>221</v>
      </c>
      <c r="C565" s="34" t="s">
        <v>223</v>
      </c>
      <c r="D565" s="34" t="s">
        <v>224</v>
      </c>
      <c r="E565" s="32">
        <v>12</v>
      </c>
      <c r="F565" s="34" t="s">
        <v>151</v>
      </c>
      <c r="G565" s="35">
        <v>1.0705317299999996E-2</v>
      </c>
    </row>
    <row r="566" spans="1:7" x14ac:dyDescent="0.2">
      <c r="A566" s="34" t="s">
        <v>52</v>
      </c>
      <c r="B566" s="34" t="s">
        <v>52</v>
      </c>
      <c r="C566" s="34" t="s">
        <v>65</v>
      </c>
      <c r="D566" s="34" t="s">
        <v>237</v>
      </c>
      <c r="E566" s="32">
        <v>12</v>
      </c>
      <c r="F566" s="34" t="s">
        <v>151</v>
      </c>
      <c r="G566" s="35">
        <v>5.7371558717999996E-2</v>
      </c>
    </row>
    <row r="567" spans="1:7" x14ac:dyDescent="0.2">
      <c r="A567" s="34" t="s">
        <v>52</v>
      </c>
      <c r="B567" s="34" t="s">
        <v>52</v>
      </c>
      <c r="C567" s="34" t="s">
        <v>65</v>
      </c>
      <c r="D567" s="34" t="s">
        <v>238</v>
      </c>
      <c r="E567" s="32">
        <v>12</v>
      </c>
      <c r="F567" s="34" t="s">
        <v>151</v>
      </c>
      <c r="G567" s="35">
        <v>5.8514266718000002E-2</v>
      </c>
    </row>
    <row r="568" spans="1:7" x14ac:dyDescent="0.2">
      <c r="A568" s="34" t="s">
        <v>52</v>
      </c>
      <c r="B568" s="34" t="s">
        <v>52</v>
      </c>
      <c r="C568" s="34" t="s">
        <v>65</v>
      </c>
      <c r="D568" s="34" t="s">
        <v>239</v>
      </c>
      <c r="E568" s="32">
        <v>12</v>
      </c>
      <c r="F568" s="34" t="s">
        <v>151</v>
      </c>
      <c r="G568" s="35">
        <v>6.4844426718000003E-2</v>
      </c>
    </row>
    <row r="569" spans="1:7" x14ac:dyDescent="0.2">
      <c r="A569" s="34" t="s">
        <v>52</v>
      </c>
      <c r="B569" s="34" t="s">
        <v>52</v>
      </c>
      <c r="C569" s="34" t="s">
        <v>65</v>
      </c>
      <c r="D569" s="34" t="s">
        <v>240</v>
      </c>
      <c r="E569" s="32">
        <v>12</v>
      </c>
      <c r="F569" s="34" t="s">
        <v>151</v>
      </c>
      <c r="G569" s="35">
        <v>6.2614858718000016E-2</v>
      </c>
    </row>
    <row r="570" spans="1:7" x14ac:dyDescent="0.2">
      <c r="A570" s="34" t="s">
        <v>52</v>
      </c>
      <c r="B570" s="34" t="s">
        <v>52</v>
      </c>
      <c r="C570" s="34" t="s">
        <v>65</v>
      </c>
      <c r="D570" s="34" t="s">
        <v>245</v>
      </c>
      <c r="E570" s="32">
        <v>12</v>
      </c>
      <c r="F570" s="34" t="s">
        <v>151</v>
      </c>
      <c r="G570" s="35">
        <v>6.1038918718000004E-2</v>
      </c>
    </row>
    <row r="571" spans="1:7" x14ac:dyDescent="0.2">
      <c r="A571" s="34" t="s">
        <v>52</v>
      </c>
      <c r="B571" s="34" t="s">
        <v>52</v>
      </c>
      <c r="C571" s="34" t="s">
        <v>223</v>
      </c>
      <c r="D571" s="34" t="s">
        <v>241</v>
      </c>
      <c r="E571" s="32">
        <v>12</v>
      </c>
      <c r="F571" s="34" t="s">
        <v>151</v>
      </c>
      <c r="G571" s="35">
        <v>2.0515170718000002E-2</v>
      </c>
    </row>
    <row r="572" spans="1:7" x14ac:dyDescent="0.2">
      <c r="A572" s="34" t="s">
        <v>52</v>
      </c>
      <c r="B572" s="34" t="s">
        <v>52</v>
      </c>
      <c r="C572" s="34" t="s">
        <v>223</v>
      </c>
      <c r="D572" s="34" t="s">
        <v>246</v>
      </c>
      <c r="E572" s="32">
        <v>12</v>
      </c>
      <c r="F572" s="34" t="s">
        <v>151</v>
      </c>
      <c r="G572" s="35">
        <v>3.0064238718000003E-2</v>
      </c>
    </row>
    <row r="573" spans="1:7" x14ac:dyDescent="0.2">
      <c r="A573" s="34" t="s">
        <v>52</v>
      </c>
      <c r="B573" s="34" t="s">
        <v>52</v>
      </c>
      <c r="C573" s="34" t="s">
        <v>223</v>
      </c>
      <c r="D573" s="34" t="s">
        <v>242</v>
      </c>
      <c r="E573" s="32">
        <v>12</v>
      </c>
      <c r="F573" s="34" t="s">
        <v>151</v>
      </c>
      <c r="G573" s="35">
        <v>6.493274718E-3</v>
      </c>
    </row>
    <row r="574" spans="1:7" x14ac:dyDescent="0.2">
      <c r="A574" s="34" t="s">
        <v>52</v>
      </c>
      <c r="B574" s="34" t="s">
        <v>52</v>
      </c>
      <c r="C574" s="34" t="s">
        <v>223</v>
      </c>
      <c r="D574" s="34" t="s">
        <v>243</v>
      </c>
      <c r="E574" s="32">
        <v>12</v>
      </c>
      <c r="F574" s="34" t="s">
        <v>151</v>
      </c>
      <c r="G574" s="35">
        <v>1.3659325518E-2</v>
      </c>
    </row>
    <row r="575" spans="1:7" x14ac:dyDescent="0.2">
      <c r="A575" s="34" t="s">
        <v>52</v>
      </c>
      <c r="B575" s="34" t="s">
        <v>52</v>
      </c>
      <c r="C575" s="34" t="s">
        <v>223</v>
      </c>
      <c r="D575" s="34" t="s">
        <v>244</v>
      </c>
      <c r="E575" s="32">
        <v>12</v>
      </c>
      <c r="F575" s="34" t="s">
        <v>151</v>
      </c>
      <c r="G575" s="35">
        <v>9.9716683179999991E-3</v>
      </c>
    </row>
    <row r="576" spans="1:7" x14ac:dyDescent="0.2">
      <c r="A576" s="34" t="s">
        <v>52</v>
      </c>
      <c r="B576" s="34" t="s">
        <v>221</v>
      </c>
      <c r="C576" s="34" t="s">
        <v>65</v>
      </c>
      <c r="D576" s="34" t="s">
        <v>225</v>
      </c>
      <c r="E576" s="32">
        <v>12</v>
      </c>
      <c r="F576" s="34" t="s">
        <v>151</v>
      </c>
      <c r="G576" s="35">
        <v>4.9110750718000001E-2</v>
      </c>
    </row>
    <row r="577" spans="1:7" x14ac:dyDescent="0.2">
      <c r="A577" s="34" t="s">
        <v>52</v>
      </c>
      <c r="B577" s="34" t="s">
        <v>221</v>
      </c>
      <c r="C577" s="34" t="s">
        <v>223</v>
      </c>
      <c r="D577" s="34" t="s">
        <v>226</v>
      </c>
      <c r="E577" s="32">
        <v>12</v>
      </c>
      <c r="F577" s="34" t="s">
        <v>151</v>
      </c>
      <c r="G577" s="35">
        <v>-8.847401999999456E-6</v>
      </c>
    </row>
    <row r="578" spans="1:7" x14ac:dyDescent="0.2">
      <c r="A578" s="34" t="s">
        <v>75</v>
      </c>
      <c r="B578" s="34" t="s">
        <v>75</v>
      </c>
      <c r="C578" s="34" t="s">
        <v>65</v>
      </c>
      <c r="D578" s="34" t="s">
        <v>233</v>
      </c>
      <c r="E578" s="32">
        <v>12</v>
      </c>
      <c r="F578" s="34" t="s">
        <v>151</v>
      </c>
      <c r="G578" s="35">
        <v>1.5E-3</v>
      </c>
    </row>
    <row r="579" spans="1:7" x14ac:dyDescent="0.2">
      <c r="A579" s="34" t="s">
        <v>75</v>
      </c>
      <c r="B579" s="34" t="s">
        <v>75</v>
      </c>
      <c r="C579" s="34" t="s">
        <v>65</v>
      </c>
      <c r="D579" s="34" t="s">
        <v>227</v>
      </c>
      <c r="E579" s="32">
        <v>12</v>
      </c>
      <c r="F579" s="34" t="s">
        <v>151</v>
      </c>
      <c r="G579" s="35">
        <v>1.5E-3</v>
      </c>
    </row>
    <row r="580" spans="1:7" x14ac:dyDescent="0.2">
      <c r="A580" s="34" t="s">
        <v>75</v>
      </c>
      <c r="B580" s="34" t="s">
        <v>75</v>
      </c>
      <c r="C580" s="34" t="s">
        <v>65</v>
      </c>
      <c r="D580" s="34" t="s">
        <v>228</v>
      </c>
      <c r="E580" s="32">
        <v>12</v>
      </c>
      <c r="F580" s="34" t="s">
        <v>151</v>
      </c>
      <c r="G580" s="35">
        <v>1.5E-3</v>
      </c>
    </row>
    <row r="581" spans="1:7" x14ac:dyDescent="0.2">
      <c r="A581" s="34" t="s">
        <v>75</v>
      </c>
      <c r="B581" s="34" t="s">
        <v>75</v>
      </c>
      <c r="C581" s="34" t="s">
        <v>65</v>
      </c>
      <c r="D581" s="34" t="s">
        <v>229</v>
      </c>
      <c r="E581" s="32">
        <v>12</v>
      </c>
      <c r="F581" s="34" t="s">
        <v>151</v>
      </c>
      <c r="G581" s="35">
        <v>1.5E-3</v>
      </c>
    </row>
    <row r="582" spans="1:7" x14ac:dyDescent="0.2">
      <c r="A582" s="34" t="s">
        <v>75</v>
      </c>
      <c r="B582" s="34" t="s">
        <v>75</v>
      </c>
      <c r="C582" s="34" t="s">
        <v>65</v>
      </c>
      <c r="D582" s="34" t="s">
        <v>234</v>
      </c>
      <c r="E582" s="32">
        <v>12</v>
      </c>
      <c r="F582" s="34" t="s">
        <v>151</v>
      </c>
      <c r="G582" s="35">
        <v>1.5E-3</v>
      </c>
    </row>
    <row r="583" spans="1:7" x14ac:dyDescent="0.2">
      <c r="A583" s="34" t="s">
        <v>75</v>
      </c>
      <c r="B583" s="34" t="s">
        <v>75</v>
      </c>
      <c r="C583" s="34" t="s">
        <v>223</v>
      </c>
      <c r="D583" s="34" t="s">
        <v>230</v>
      </c>
      <c r="E583" s="32">
        <v>12</v>
      </c>
      <c r="F583" s="34" t="s">
        <v>151</v>
      </c>
      <c r="G583" s="35">
        <v>1.5E-3</v>
      </c>
    </row>
    <row r="584" spans="1:7" x14ac:dyDescent="0.2">
      <c r="A584" s="34" t="s">
        <v>75</v>
      </c>
      <c r="B584" s="34" t="s">
        <v>75</v>
      </c>
      <c r="C584" s="34" t="s">
        <v>223</v>
      </c>
      <c r="D584" s="34" t="s">
        <v>231</v>
      </c>
      <c r="E584" s="32">
        <v>12</v>
      </c>
      <c r="F584" s="34" t="s">
        <v>151</v>
      </c>
      <c r="G584" s="35">
        <v>1.5E-3</v>
      </c>
    </row>
    <row r="585" spans="1:7" x14ac:dyDescent="0.2">
      <c r="A585" s="34" t="s">
        <v>75</v>
      </c>
      <c r="B585" s="34" t="s">
        <v>75</v>
      </c>
      <c r="C585" s="34" t="s">
        <v>223</v>
      </c>
      <c r="D585" s="34" t="s">
        <v>235</v>
      </c>
      <c r="E585" s="32">
        <v>12</v>
      </c>
      <c r="F585" s="34" t="s">
        <v>151</v>
      </c>
      <c r="G585" s="35">
        <v>1.5E-3</v>
      </c>
    </row>
    <row r="586" spans="1:7" x14ac:dyDescent="0.2">
      <c r="A586" s="34" t="s">
        <v>75</v>
      </c>
      <c r="B586" s="34" t="s">
        <v>75</v>
      </c>
      <c r="C586" s="34" t="s">
        <v>223</v>
      </c>
      <c r="D586" s="34" t="s">
        <v>232</v>
      </c>
      <c r="E586" s="32">
        <v>12</v>
      </c>
      <c r="F586" s="34" t="s">
        <v>151</v>
      </c>
      <c r="G586" s="35">
        <v>1.5E-3</v>
      </c>
    </row>
    <row r="587" spans="1:7" x14ac:dyDescent="0.2">
      <c r="A587" s="34" t="s">
        <v>75</v>
      </c>
      <c r="B587" s="34" t="s">
        <v>75</v>
      </c>
      <c r="C587" s="34" t="s">
        <v>223</v>
      </c>
      <c r="D587" s="34" t="s">
        <v>236</v>
      </c>
      <c r="E587" s="32">
        <v>12</v>
      </c>
      <c r="F587" s="34" t="s">
        <v>151</v>
      </c>
      <c r="G587" s="35">
        <v>1.3709179250000003E-3</v>
      </c>
    </row>
    <row r="588" spans="1:7" x14ac:dyDescent="0.2">
      <c r="A588" s="34" t="s">
        <v>75</v>
      </c>
      <c r="B588" s="34" t="s">
        <v>221</v>
      </c>
      <c r="C588" s="34" t="s">
        <v>65</v>
      </c>
      <c r="D588" s="34" t="s">
        <v>222</v>
      </c>
      <c r="E588" s="32">
        <v>12</v>
      </c>
      <c r="F588" s="34" t="s">
        <v>151</v>
      </c>
      <c r="G588" s="35">
        <v>1.5E-3</v>
      </c>
    </row>
    <row r="589" spans="1:7" x14ac:dyDescent="0.2">
      <c r="A589" s="34" t="s">
        <v>75</v>
      </c>
      <c r="B589" s="34" t="s">
        <v>221</v>
      </c>
      <c r="C589" s="34" t="s">
        <v>223</v>
      </c>
      <c r="D589" s="34" t="s">
        <v>224</v>
      </c>
      <c r="E589" s="32">
        <v>12</v>
      </c>
      <c r="F589" s="34" t="s">
        <v>151</v>
      </c>
      <c r="G589" s="35">
        <v>1.5E-3</v>
      </c>
    </row>
    <row r="590" spans="1:7" x14ac:dyDescent="0.2">
      <c r="A590" s="34" t="s">
        <v>52</v>
      </c>
      <c r="B590" s="34" t="s">
        <v>52</v>
      </c>
      <c r="C590" s="34" t="s">
        <v>65</v>
      </c>
      <c r="D590" s="34" t="s">
        <v>237</v>
      </c>
      <c r="E590" s="32">
        <v>12</v>
      </c>
      <c r="F590" s="34" t="s">
        <v>151</v>
      </c>
      <c r="G590" s="35">
        <v>5.0000000000000001E-4</v>
      </c>
    </row>
    <row r="591" spans="1:7" x14ac:dyDescent="0.2">
      <c r="A591" s="34" t="s">
        <v>52</v>
      </c>
      <c r="B591" s="34" t="s">
        <v>52</v>
      </c>
      <c r="C591" s="34" t="s">
        <v>65</v>
      </c>
      <c r="D591" s="34" t="s">
        <v>238</v>
      </c>
      <c r="E591" s="32">
        <v>12</v>
      </c>
      <c r="F591" s="34" t="s">
        <v>151</v>
      </c>
      <c r="G591" s="35">
        <v>5.0000000000000001E-4</v>
      </c>
    </row>
    <row r="592" spans="1:7" x14ac:dyDescent="0.2">
      <c r="A592" s="34" t="s">
        <v>52</v>
      </c>
      <c r="B592" s="34" t="s">
        <v>52</v>
      </c>
      <c r="C592" s="34" t="s">
        <v>65</v>
      </c>
      <c r="D592" s="34" t="s">
        <v>239</v>
      </c>
      <c r="E592" s="32">
        <v>12</v>
      </c>
      <c r="F592" s="34" t="s">
        <v>151</v>
      </c>
      <c r="G592" s="35">
        <v>5.0000000000000001E-4</v>
      </c>
    </row>
    <row r="593" spans="1:7" x14ac:dyDescent="0.2">
      <c r="A593" s="34" t="s">
        <v>52</v>
      </c>
      <c r="B593" s="34" t="s">
        <v>52</v>
      </c>
      <c r="C593" s="34" t="s">
        <v>65</v>
      </c>
      <c r="D593" s="34" t="s">
        <v>240</v>
      </c>
      <c r="E593" s="32">
        <v>12</v>
      </c>
      <c r="F593" s="34" t="s">
        <v>151</v>
      </c>
      <c r="G593" s="35">
        <v>5.0000000000000001E-4</v>
      </c>
    </row>
    <row r="594" spans="1:7" x14ac:dyDescent="0.2">
      <c r="A594" s="34" t="s">
        <v>52</v>
      </c>
      <c r="B594" s="34" t="s">
        <v>52</v>
      </c>
      <c r="C594" s="34" t="s">
        <v>65</v>
      </c>
      <c r="D594" s="34" t="s">
        <v>245</v>
      </c>
      <c r="E594" s="32">
        <v>12</v>
      </c>
      <c r="F594" s="34" t="s">
        <v>151</v>
      </c>
      <c r="G594" s="35">
        <v>5.0000000000000001E-4</v>
      </c>
    </row>
    <row r="595" spans="1:7" x14ac:dyDescent="0.2">
      <c r="A595" s="34" t="s">
        <v>52</v>
      </c>
      <c r="B595" s="34" t="s">
        <v>52</v>
      </c>
      <c r="C595" s="34" t="s">
        <v>223</v>
      </c>
      <c r="D595" s="34" t="s">
        <v>241</v>
      </c>
      <c r="E595" s="32">
        <v>12</v>
      </c>
      <c r="F595" s="34" t="s">
        <v>151</v>
      </c>
      <c r="G595" s="35">
        <v>1.8E-3</v>
      </c>
    </row>
    <row r="596" spans="1:7" x14ac:dyDescent="0.2">
      <c r="A596" s="34" t="s">
        <v>52</v>
      </c>
      <c r="B596" s="34" t="s">
        <v>52</v>
      </c>
      <c r="C596" s="34" t="s">
        <v>223</v>
      </c>
      <c r="D596" s="34" t="s">
        <v>246</v>
      </c>
      <c r="E596" s="32">
        <v>12</v>
      </c>
      <c r="F596" s="34" t="s">
        <v>151</v>
      </c>
      <c r="G596" s="35">
        <v>3.0000000000000001E-3</v>
      </c>
    </row>
    <row r="597" spans="1:7" x14ac:dyDescent="0.2">
      <c r="A597" s="34" t="s">
        <v>52</v>
      </c>
      <c r="B597" s="34" t="s">
        <v>52</v>
      </c>
      <c r="C597" s="34" t="s">
        <v>223</v>
      </c>
      <c r="D597" s="34" t="s">
        <v>242</v>
      </c>
      <c r="E597" s="32">
        <v>12</v>
      </c>
      <c r="F597" s="34" t="s">
        <v>151</v>
      </c>
      <c r="G597" s="35">
        <v>2.7000000000000001E-3</v>
      </c>
    </row>
    <row r="598" spans="1:7" x14ac:dyDescent="0.2">
      <c r="A598" s="34" t="s">
        <v>52</v>
      </c>
      <c r="B598" s="34" t="s">
        <v>52</v>
      </c>
      <c r="C598" s="34" t="s">
        <v>223</v>
      </c>
      <c r="D598" s="34" t="s">
        <v>243</v>
      </c>
      <c r="E598" s="32">
        <v>12</v>
      </c>
      <c r="F598" s="34" t="s">
        <v>151</v>
      </c>
      <c r="G598" s="35">
        <v>3.5999999999999999E-3</v>
      </c>
    </row>
    <row r="599" spans="1:7" x14ac:dyDescent="0.2">
      <c r="A599" s="34" t="s">
        <v>52</v>
      </c>
      <c r="B599" s="34" t="s">
        <v>52</v>
      </c>
      <c r="C599" s="34" t="s">
        <v>223</v>
      </c>
      <c r="D599" s="34" t="s">
        <v>244</v>
      </c>
      <c r="E599" s="32">
        <v>12</v>
      </c>
      <c r="F599" s="34" t="s">
        <v>151</v>
      </c>
      <c r="G599" s="35">
        <v>1.2999999999999999E-3</v>
      </c>
    </row>
    <row r="600" spans="1:7" x14ac:dyDescent="0.2">
      <c r="A600" s="34" t="s">
        <v>52</v>
      </c>
      <c r="B600" s="34" t="s">
        <v>221</v>
      </c>
      <c r="C600" s="34" t="s">
        <v>65</v>
      </c>
      <c r="D600" s="34" t="s">
        <v>225</v>
      </c>
      <c r="E600" s="32">
        <v>12</v>
      </c>
      <c r="F600" s="34" t="s">
        <v>151</v>
      </c>
      <c r="G600" s="35">
        <v>5.0000000000000001E-4</v>
      </c>
    </row>
    <row r="601" spans="1:7" x14ac:dyDescent="0.2">
      <c r="A601" s="34" t="s">
        <v>52</v>
      </c>
      <c r="B601" s="34" t="s">
        <v>221</v>
      </c>
      <c r="C601" s="34" t="s">
        <v>223</v>
      </c>
      <c r="D601" s="34" t="s">
        <v>226</v>
      </c>
      <c r="E601" s="32">
        <v>12</v>
      </c>
      <c r="F601" s="34" t="s">
        <v>151</v>
      </c>
      <c r="G601" s="35">
        <v>3.0000000000000001E-3</v>
      </c>
    </row>
    <row r="602" spans="1:7" x14ac:dyDescent="0.2">
      <c r="A602" s="34" t="s">
        <v>75</v>
      </c>
      <c r="B602" s="34" t="s">
        <v>75</v>
      </c>
      <c r="C602" s="34" t="s">
        <v>65</v>
      </c>
      <c r="D602" s="34" t="s">
        <v>233</v>
      </c>
      <c r="E602" s="32">
        <v>15</v>
      </c>
      <c r="F602" s="34" t="s">
        <v>151</v>
      </c>
      <c r="G602" s="35">
        <v>0.29093580866999996</v>
      </c>
    </row>
    <row r="603" spans="1:7" x14ac:dyDescent="0.2">
      <c r="A603" s="34" t="s">
        <v>75</v>
      </c>
      <c r="B603" s="34" t="s">
        <v>75</v>
      </c>
      <c r="C603" s="34" t="s">
        <v>65</v>
      </c>
      <c r="D603" s="34" t="s">
        <v>227</v>
      </c>
      <c r="E603" s="32">
        <v>15</v>
      </c>
      <c r="F603" s="34" t="s">
        <v>151</v>
      </c>
      <c r="G603" s="35">
        <v>0.39082224866999998</v>
      </c>
    </row>
    <row r="604" spans="1:7" x14ac:dyDescent="0.2">
      <c r="A604" s="34" t="s">
        <v>75</v>
      </c>
      <c r="B604" s="34" t="s">
        <v>75</v>
      </c>
      <c r="C604" s="34" t="s">
        <v>65</v>
      </c>
      <c r="D604" s="34" t="s">
        <v>228</v>
      </c>
      <c r="E604" s="32">
        <v>15</v>
      </c>
      <c r="F604" s="34" t="s">
        <v>151</v>
      </c>
      <c r="G604" s="35">
        <v>0.41824428866999991</v>
      </c>
    </row>
    <row r="605" spans="1:7" x14ac:dyDescent="0.2">
      <c r="A605" s="34" t="s">
        <v>75</v>
      </c>
      <c r="B605" s="34" t="s">
        <v>75</v>
      </c>
      <c r="C605" s="34" t="s">
        <v>65</v>
      </c>
      <c r="D605" s="34" t="s">
        <v>229</v>
      </c>
      <c r="E605" s="32">
        <v>15</v>
      </c>
      <c r="F605" s="34" t="s">
        <v>151</v>
      </c>
      <c r="G605" s="35">
        <v>0.35782092866999993</v>
      </c>
    </row>
    <row r="606" spans="1:7" x14ac:dyDescent="0.2">
      <c r="A606" s="34" t="s">
        <v>75</v>
      </c>
      <c r="B606" s="34" t="s">
        <v>75</v>
      </c>
      <c r="C606" s="34" t="s">
        <v>65</v>
      </c>
      <c r="D606" s="34" t="s">
        <v>234</v>
      </c>
      <c r="E606" s="32">
        <v>15</v>
      </c>
      <c r="F606" s="34" t="s">
        <v>151</v>
      </c>
      <c r="G606" s="35">
        <v>0.33080596866999995</v>
      </c>
    </row>
    <row r="607" spans="1:7" x14ac:dyDescent="0.2">
      <c r="A607" s="34" t="s">
        <v>75</v>
      </c>
      <c r="B607" s="34" t="s">
        <v>75</v>
      </c>
      <c r="C607" s="34" t="s">
        <v>223</v>
      </c>
      <c r="D607" s="34" t="s">
        <v>230</v>
      </c>
      <c r="E607" s="32">
        <v>15</v>
      </c>
      <c r="F607" s="34" t="s">
        <v>151</v>
      </c>
      <c r="G607" s="35">
        <v>5.0724508670000015E-2</v>
      </c>
    </row>
    <row r="608" spans="1:7" x14ac:dyDescent="0.2">
      <c r="A608" s="34" t="s">
        <v>75</v>
      </c>
      <c r="B608" s="34" t="s">
        <v>75</v>
      </c>
      <c r="C608" s="34" t="s">
        <v>223</v>
      </c>
      <c r="D608" s="34" t="s">
        <v>231</v>
      </c>
      <c r="E608" s="32">
        <v>15</v>
      </c>
      <c r="F608" s="34" t="s">
        <v>151</v>
      </c>
      <c r="G608" s="35">
        <v>5.533013266999999E-2</v>
      </c>
    </row>
    <row r="609" spans="1:7" x14ac:dyDescent="0.2">
      <c r="A609" s="34" t="s">
        <v>75</v>
      </c>
      <c r="B609" s="34" t="s">
        <v>75</v>
      </c>
      <c r="C609" s="34" t="s">
        <v>223</v>
      </c>
      <c r="D609" s="34" t="s">
        <v>235</v>
      </c>
      <c r="E609" s="32">
        <v>15</v>
      </c>
      <c r="F609" s="34" t="s">
        <v>151</v>
      </c>
      <c r="G609" s="35">
        <v>8.3860292670000017E-2</v>
      </c>
    </row>
    <row r="610" spans="1:7" x14ac:dyDescent="0.2">
      <c r="A610" s="34" t="s">
        <v>75</v>
      </c>
      <c r="B610" s="34" t="s">
        <v>75</v>
      </c>
      <c r="C610" s="34" t="s">
        <v>223</v>
      </c>
      <c r="D610" s="34" t="s">
        <v>232</v>
      </c>
      <c r="E610" s="32">
        <v>15</v>
      </c>
      <c r="F610" s="34" t="s">
        <v>151</v>
      </c>
      <c r="G610" s="35">
        <v>0.18182288866999999</v>
      </c>
    </row>
    <row r="611" spans="1:7" x14ac:dyDescent="0.2">
      <c r="A611" s="34" t="s">
        <v>75</v>
      </c>
      <c r="B611" s="34" t="s">
        <v>75</v>
      </c>
      <c r="C611" s="34" t="s">
        <v>223</v>
      </c>
      <c r="D611" s="34" t="s">
        <v>236</v>
      </c>
      <c r="E611" s="32">
        <v>15</v>
      </c>
      <c r="F611" s="34" t="s">
        <v>151</v>
      </c>
      <c r="G611" s="35">
        <v>8.0385972670000014E-2</v>
      </c>
    </row>
    <row r="612" spans="1:7" x14ac:dyDescent="0.2">
      <c r="A612" s="34" t="s">
        <v>75</v>
      </c>
      <c r="B612" s="34" t="s">
        <v>221</v>
      </c>
      <c r="C612" s="34" t="s">
        <v>65</v>
      </c>
      <c r="D612" s="34" t="s">
        <v>222</v>
      </c>
      <c r="E612" s="32">
        <v>15</v>
      </c>
      <c r="F612" s="34" t="s">
        <v>151</v>
      </c>
      <c r="G612" s="35">
        <v>0.22658836866999998</v>
      </c>
    </row>
    <row r="613" spans="1:7" x14ac:dyDescent="0.2">
      <c r="A613" s="34" t="s">
        <v>75</v>
      </c>
      <c r="B613" s="34" t="s">
        <v>221</v>
      </c>
      <c r="C613" s="34" t="s">
        <v>223</v>
      </c>
      <c r="D613" s="34" t="s">
        <v>224</v>
      </c>
      <c r="E613" s="32">
        <v>15</v>
      </c>
      <c r="F613" s="34" t="s">
        <v>151</v>
      </c>
      <c r="G613" s="35">
        <v>8.2997548670000004E-2</v>
      </c>
    </row>
    <row r="614" spans="1:7" x14ac:dyDescent="0.2">
      <c r="A614" s="34" t="s">
        <v>52</v>
      </c>
      <c r="B614" s="34" t="s">
        <v>52</v>
      </c>
      <c r="C614" s="34" t="s">
        <v>65</v>
      </c>
      <c r="D614" s="34" t="s">
        <v>237</v>
      </c>
      <c r="E614" s="32">
        <v>15</v>
      </c>
      <c r="F614" s="34" t="s">
        <v>151</v>
      </c>
      <c r="G614" s="35">
        <v>0.100822009542</v>
      </c>
    </row>
    <row r="615" spans="1:7" x14ac:dyDescent="0.2">
      <c r="A615" s="34" t="s">
        <v>52</v>
      </c>
      <c r="B615" s="34" t="s">
        <v>52</v>
      </c>
      <c r="C615" s="34" t="s">
        <v>65</v>
      </c>
      <c r="D615" s="34" t="s">
        <v>238</v>
      </c>
      <c r="E615" s="32">
        <v>15</v>
      </c>
      <c r="F615" s="34" t="s">
        <v>151</v>
      </c>
      <c r="G615" s="35">
        <v>9.9244681541999988E-2</v>
      </c>
    </row>
    <row r="616" spans="1:7" x14ac:dyDescent="0.2">
      <c r="A616" s="34" t="s">
        <v>52</v>
      </c>
      <c r="B616" s="34" t="s">
        <v>52</v>
      </c>
      <c r="C616" s="34" t="s">
        <v>65</v>
      </c>
      <c r="D616" s="34" t="s">
        <v>239</v>
      </c>
      <c r="E616" s="32">
        <v>15</v>
      </c>
      <c r="F616" s="34" t="s">
        <v>151</v>
      </c>
      <c r="G616" s="35">
        <v>0.10839264954199998</v>
      </c>
    </row>
    <row r="617" spans="1:7" x14ac:dyDescent="0.2">
      <c r="A617" s="34" t="s">
        <v>52</v>
      </c>
      <c r="B617" s="34" t="s">
        <v>52</v>
      </c>
      <c r="C617" s="34" t="s">
        <v>65</v>
      </c>
      <c r="D617" s="34" t="s">
        <v>240</v>
      </c>
      <c r="E617" s="32">
        <v>15</v>
      </c>
      <c r="F617" s="34" t="s">
        <v>151</v>
      </c>
      <c r="G617" s="35">
        <v>8.9116821541999999E-2</v>
      </c>
    </row>
    <row r="618" spans="1:7" x14ac:dyDescent="0.2">
      <c r="A618" s="34" t="s">
        <v>52</v>
      </c>
      <c r="B618" s="34" t="s">
        <v>52</v>
      </c>
      <c r="C618" s="34" t="s">
        <v>65</v>
      </c>
      <c r="D618" s="34" t="s">
        <v>245</v>
      </c>
      <c r="E618" s="32">
        <v>15</v>
      </c>
      <c r="F618" s="34" t="s">
        <v>151</v>
      </c>
      <c r="G618" s="35">
        <v>0.15631252154199995</v>
      </c>
    </row>
    <row r="619" spans="1:7" x14ac:dyDescent="0.2">
      <c r="A619" s="34" t="s">
        <v>52</v>
      </c>
      <c r="B619" s="34" t="s">
        <v>52</v>
      </c>
      <c r="C619" s="34" t="s">
        <v>223</v>
      </c>
      <c r="D619" s="34" t="s">
        <v>241</v>
      </c>
      <c r="E619" s="32">
        <v>15</v>
      </c>
      <c r="F619" s="34" t="s">
        <v>151</v>
      </c>
      <c r="G619" s="35">
        <v>2.3709161542000003E-2</v>
      </c>
    </row>
    <row r="620" spans="1:7" x14ac:dyDescent="0.2">
      <c r="A620" s="34" t="s">
        <v>52</v>
      </c>
      <c r="B620" s="34" t="s">
        <v>52</v>
      </c>
      <c r="C620" s="34" t="s">
        <v>223</v>
      </c>
      <c r="D620" s="34" t="s">
        <v>246</v>
      </c>
      <c r="E620" s="32">
        <v>15</v>
      </c>
      <c r="F620" s="34" t="s">
        <v>151</v>
      </c>
      <c r="G620" s="35">
        <v>2.8645329542000008E-2</v>
      </c>
    </row>
    <row r="621" spans="1:7" x14ac:dyDescent="0.2">
      <c r="A621" s="34" t="s">
        <v>52</v>
      </c>
      <c r="B621" s="34" t="s">
        <v>52</v>
      </c>
      <c r="C621" s="34" t="s">
        <v>223</v>
      </c>
      <c r="D621" s="34" t="s">
        <v>242</v>
      </c>
      <c r="E621" s="32">
        <v>15</v>
      </c>
      <c r="F621" s="34" t="s">
        <v>151</v>
      </c>
      <c r="G621" s="35">
        <v>4.8721229541999991E-2</v>
      </c>
    </row>
    <row r="622" spans="1:7" x14ac:dyDescent="0.2">
      <c r="A622" s="34" t="s">
        <v>52</v>
      </c>
      <c r="B622" s="34" t="s">
        <v>52</v>
      </c>
      <c r="C622" s="34" t="s">
        <v>223</v>
      </c>
      <c r="D622" s="34" t="s">
        <v>243</v>
      </c>
      <c r="E622" s="32">
        <v>15</v>
      </c>
      <c r="F622" s="34" t="s">
        <v>151</v>
      </c>
      <c r="G622" s="35">
        <v>5.5170421542000012E-2</v>
      </c>
    </row>
    <row r="623" spans="1:7" x14ac:dyDescent="0.2">
      <c r="A623" s="34" t="s">
        <v>52</v>
      </c>
      <c r="B623" s="34" t="s">
        <v>52</v>
      </c>
      <c r="C623" s="34" t="s">
        <v>223</v>
      </c>
      <c r="D623" s="34" t="s">
        <v>244</v>
      </c>
      <c r="E623" s="32">
        <v>15</v>
      </c>
      <c r="F623" s="34" t="s">
        <v>151</v>
      </c>
      <c r="G623" s="35">
        <v>9.7331803420000005E-3</v>
      </c>
    </row>
    <row r="624" spans="1:7" x14ac:dyDescent="0.2">
      <c r="A624" s="34" t="s">
        <v>52</v>
      </c>
      <c r="B624" s="34" t="s">
        <v>221</v>
      </c>
      <c r="C624" s="34" t="s">
        <v>65</v>
      </c>
      <c r="D624" s="34" t="s">
        <v>225</v>
      </c>
      <c r="E624" s="32">
        <v>15</v>
      </c>
      <c r="F624" s="34" t="s">
        <v>151</v>
      </c>
      <c r="G624" s="35">
        <v>6.0684889541999992E-2</v>
      </c>
    </row>
    <row r="625" spans="1:7" x14ac:dyDescent="0.2">
      <c r="A625" s="34" t="s">
        <v>52</v>
      </c>
      <c r="B625" s="34" t="s">
        <v>221</v>
      </c>
      <c r="C625" s="34" t="s">
        <v>223</v>
      </c>
      <c r="D625" s="34" t="s">
        <v>226</v>
      </c>
      <c r="E625" s="32">
        <v>15</v>
      </c>
      <c r="F625" s="34" t="s">
        <v>151</v>
      </c>
      <c r="G625" s="35">
        <v>6.5915647420000008E-3</v>
      </c>
    </row>
    <row r="626" spans="1:7" x14ac:dyDescent="0.2">
      <c r="A626" s="34" t="s">
        <v>75</v>
      </c>
      <c r="B626" s="34" t="s">
        <v>75</v>
      </c>
      <c r="C626" s="34" t="s">
        <v>65</v>
      </c>
      <c r="D626" s="34" t="s">
        <v>233</v>
      </c>
      <c r="E626" s="32">
        <v>15</v>
      </c>
      <c r="F626" s="34" t="s">
        <v>151</v>
      </c>
      <c r="G626" s="35">
        <v>1.5E-3</v>
      </c>
    </row>
    <row r="627" spans="1:7" x14ac:dyDescent="0.2">
      <c r="A627" s="34" t="s">
        <v>75</v>
      </c>
      <c r="B627" s="34" t="s">
        <v>75</v>
      </c>
      <c r="C627" s="34" t="s">
        <v>65</v>
      </c>
      <c r="D627" s="34" t="s">
        <v>227</v>
      </c>
      <c r="E627" s="32">
        <v>15</v>
      </c>
      <c r="F627" s="34" t="s">
        <v>151</v>
      </c>
      <c r="G627" s="35">
        <v>1.5E-3</v>
      </c>
    </row>
    <row r="628" spans="1:7" x14ac:dyDescent="0.2">
      <c r="A628" s="34" t="s">
        <v>75</v>
      </c>
      <c r="B628" s="34" t="s">
        <v>75</v>
      </c>
      <c r="C628" s="34" t="s">
        <v>65</v>
      </c>
      <c r="D628" s="34" t="s">
        <v>228</v>
      </c>
      <c r="E628" s="32">
        <v>15</v>
      </c>
      <c r="F628" s="34" t="s">
        <v>151</v>
      </c>
      <c r="G628" s="35">
        <v>1.5E-3</v>
      </c>
    </row>
    <row r="629" spans="1:7" x14ac:dyDescent="0.2">
      <c r="A629" s="34" t="s">
        <v>75</v>
      </c>
      <c r="B629" s="34" t="s">
        <v>75</v>
      </c>
      <c r="C629" s="34" t="s">
        <v>65</v>
      </c>
      <c r="D629" s="34" t="s">
        <v>229</v>
      </c>
      <c r="E629" s="32">
        <v>15</v>
      </c>
      <c r="F629" s="34" t="s">
        <v>151</v>
      </c>
      <c r="G629" s="35">
        <v>1.5E-3</v>
      </c>
    </row>
    <row r="630" spans="1:7" x14ac:dyDescent="0.2">
      <c r="A630" s="34" t="s">
        <v>75</v>
      </c>
      <c r="B630" s="34" t="s">
        <v>75</v>
      </c>
      <c r="C630" s="34" t="s">
        <v>65</v>
      </c>
      <c r="D630" s="34" t="s">
        <v>234</v>
      </c>
      <c r="E630" s="32">
        <v>15</v>
      </c>
      <c r="F630" s="34" t="s">
        <v>151</v>
      </c>
      <c r="G630" s="35">
        <v>1.5E-3</v>
      </c>
    </row>
    <row r="631" spans="1:7" x14ac:dyDescent="0.2">
      <c r="A631" s="34" t="s">
        <v>75</v>
      </c>
      <c r="B631" s="34" t="s">
        <v>75</v>
      </c>
      <c r="C631" s="34" t="s">
        <v>223</v>
      </c>
      <c r="D631" s="34" t="s">
        <v>230</v>
      </c>
      <c r="E631" s="32">
        <v>15</v>
      </c>
      <c r="F631" s="34" t="s">
        <v>151</v>
      </c>
      <c r="G631" s="35">
        <v>1.5E-3</v>
      </c>
    </row>
    <row r="632" spans="1:7" x14ac:dyDescent="0.2">
      <c r="A632" s="34" t="s">
        <v>75</v>
      </c>
      <c r="B632" s="34" t="s">
        <v>75</v>
      </c>
      <c r="C632" s="34" t="s">
        <v>223</v>
      </c>
      <c r="D632" s="34" t="s">
        <v>231</v>
      </c>
      <c r="E632" s="32">
        <v>15</v>
      </c>
      <c r="F632" s="34" t="s">
        <v>151</v>
      </c>
      <c r="G632" s="35">
        <v>1.5E-3</v>
      </c>
    </row>
    <row r="633" spans="1:7" x14ac:dyDescent="0.2">
      <c r="A633" s="34" t="s">
        <v>75</v>
      </c>
      <c r="B633" s="34" t="s">
        <v>75</v>
      </c>
      <c r="C633" s="34" t="s">
        <v>223</v>
      </c>
      <c r="D633" s="34" t="s">
        <v>235</v>
      </c>
      <c r="E633" s="32">
        <v>15</v>
      </c>
      <c r="F633" s="34" t="s">
        <v>151</v>
      </c>
      <c r="G633" s="35">
        <v>1.5E-3</v>
      </c>
    </row>
    <row r="634" spans="1:7" x14ac:dyDescent="0.2">
      <c r="A634" s="34" t="s">
        <v>75</v>
      </c>
      <c r="B634" s="34" t="s">
        <v>75</v>
      </c>
      <c r="C634" s="34" t="s">
        <v>223</v>
      </c>
      <c r="D634" s="34" t="s">
        <v>232</v>
      </c>
      <c r="E634" s="32">
        <v>15</v>
      </c>
      <c r="F634" s="34" t="s">
        <v>151</v>
      </c>
      <c r="G634" s="35">
        <v>1.5E-3</v>
      </c>
    </row>
    <row r="635" spans="1:7" x14ac:dyDescent="0.2">
      <c r="A635" s="34" t="s">
        <v>75</v>
      </c>
      <c r="B635" s="34" t="s">
        <v>75</v>
      </c>
      <c r="C635" s="34" t="s">
        <v>223</v>
      </c>
      <c r="D635" s="34" t="s">
        <v>236</v>
      </c>
      <c r="E635" s="32">
        <v>15</v>
      </c>
      <c r="F635" s="34" t="s">
        <v>151</v>
      </c>
      <c r="G635" s="35">
        <v>1.5E-3</v>
      </c>
    </row>
    <row r="636" spans="1:7" x14ac:dyDescent="0.2">
      <c r="A636" s="34" t="s">
        <v>75</v>
      </c>
      <c r="B636" s="34" t="s">
        <v>221</v>
      </c>
      <c r="C636" s="34" t="s">
        <v>65</v>
      </c>
      <c r="D636" s="34" t="s">
        <v>222</v>
      </c>
      <c r="E636" s="32">
        <v>15</v>
      </c>
      <c r="F636" s="34" t="s">
        <v>151</v>
      </c>
      <c r="G636" s="35">
        <v>1.5E-3</v>
      </c>
    </row>
    <row r="637" spans="1:7" x14ac:dyDescent="0.2">
      <c r="A637" s="34" t="s">
        <v>75</v>
      </c>
      <c r="B637" s="34" t="s">
        <v>221</v>
      </c>
      <c r="C637" s="34" t="s">
        <v>223</v>
      </c>
      <c r="D637" s="34" t="s">
        <v>224</v>
      </c>
      <c r="E637" s="32">
        <v>15</v>
      </c>
      <c r="F637" s="34" t="s">
        <v>151</v>
      </c>
      <c r="G637" s="35">
        <v>1.5E-3</v>
      </c>
    </row>
    <row r="638" spans="1:7" x14ac:dyDescent="0.2">
      <c r="A638" s="34" t="s">
        <v>52</v>
      </c>
      <c r="B638" s="34" t="s">
        <v>52</v>
      </c>
      <c r="C638" s="34" t="s">
        <v>65</v>
      </c>
      <c r="D638" s="34" t="s">
        <v>237</v>
      </c>
      <c r="E638" s="32">
        <v>15</v>
      </c>
      <c r="F638" s="34" t="s">
        <v>151</v>
      </c>
      <c r="G638" s="35">
        <v>5.0000000000000001E-4</v>
      </c>
    </row>
    <row r="639" spans="1:7" x14ac:dyDescent="0.2">
      <c r="A639" s="34" t="s">
        <v>52</v>
      </c>
      <c r="B639" s="34" t="s">
        <v>52</v>
      </c>
      <c r="C639" s="34" t="s">
        <v>65</v>
      </c>
      <c r="D639" s="34" t="s">
        <v>238</v>
      </c>
      <c r="E639" s="32">
        <v>15</v>
      </c>
      <c r="F639" s="34" t="s">
        <v>151</v>
      </c>
      <c r="G639" s="35">
        <v>5.0000000000000001E-4</v>
      </c>
    </row>
    <row r="640" spans="1:7" x14ac:dyDescent="0.2">
      <c r="A640" s="34" t="s">
        <v>52</v>
      </c>
      <c r="B640" s="34" t="s">
        <v>52</v>
      </c>
      <c r="C640" s="34" t="s">
        <v>65</v>
      </c>
      <c r="D640" s="34" t="s">
        <v>239</v>
      </c>
      <c r="E640" s="32">
        <v>15</v>
      </c>
      <c r="F640" s="34" t="s">
        <v>151</v>
      </c>
      <c r="G640" s="35">
        <v>5.0000000000000001E-4</v>
      </c>
    </row>
    <row r="641" spans="1:7" x14ac:dyDescent="0.2">
      <c r="A641" s="34" t="s">
        <v>52</v>
      </c>
      <c r="B641" s="34" t="s">
        <v>52</v>
      </c>
      <c r="C641" s="34" t="s">
        <v>65</v>
      </c>
      <c r="D641" s="34" t="s">
        <v>240</v>
      </c>
      <c r="E641" s="32">
        <v>15</v>
      </c>
      <c r="F641" s="34" t="s">
        <v>151</v>
      </c>
      <c r="G641" s="35">
        <v>5.0000000000000001E-4</v>
      </c>
    </row>
    <row r="642" spans="1:7" x14ac:dyDescent="0.2">
      <c r="A642" s="34" t="s">
        <v>52</v>
      </c>
      <c r="B642" s="34" t="s">
        <v>52</v>
      </c>
      <c r="C642" s="34" t="s">
        <v>65</v>
      </c>
      <c r="D642" s="34" t="s">
        <v>245</v>
      </c>
      <c r="E642" s="32">
        <v>15</v>
      </c>
      <c r="F642" s="34" t="s">
        <v>151</v>
      </c>
      <c r="G642" s="35">
        <v>5.0000000000000001E-4</v>
      </c>
    </row>
    <row r="643" spans="1:7" x14ac:dyDescent="0.2">
      <c r="A643" s="34" t="s">
        <v>52</v>
      </c>
      <c r="B643" s="34" t="s">
        <v>52</v>
      </c>
      <c r="C643" s="34" t="s">
        <v>223</v>
      </c>
      <c r="D643" s="34" t="s">
        <v>241</v>
      </c>
      <c r="E643" s="32">
        <v>15</v>
      </c>
      <c r="F643" s="34" t="s">
        <v>151</v>
      </c>
      <c r="G643" s="35">
        <v>1.8500000000000001E-3</v>
      </c>
    </row>
    <row r="644" spans="1:7" x14ac:dyDescent="0.2">
      <c r="A644" s="34" t="s">
        <v>52</v>
      </c>
      <c r="B644" s="34" t="s">
        <v>52</v>
      </c>
      <c r="C644" s="34" t="s">
        <v>223</v>
      </c>
      <c r="D644" s="34" t="s">
        <v>246</v>
      </c>
      <c r="E644" s="32">
        <v>15</v>
      </c>
      <c r="F644" s="34" t="s">
        <v>151</v>
      </c>
      <c r="G644" s="35">
        <v>1.8500000000000001E-3</v>
      </c>
    </row>
    <row r="645" spans="1:7" x14ac:dyDescent="0.2">
      <c r="A645" s="34" t="s">
        <v>52</v>
      </c>
      <c r="B645" s="34" t="s">
        <v>52</v>
      </c>
      <c r="C645" s="34" t="s">
        <v>223</v>
      </c>
      <c r="D645" s="34" t="s">
        <v>242</v>
      </c>
      <c r="E645" s="32">
        <v>15</v>
      </c>
      <c r="F645" s="34" t="s">
        <v>151</v>
      </c>
      <c r="G645" s="35">
        <v>2.7000000000000001E-3</v>
      </c>
    </row>
    <row r="646" spans="1:7" x14ac:dyDescent="0.2">
      <c r="A646" s="34" t="s">
        <v>52</v>
      </c>
      <c r="B646" s="34" t="s">
        <v>52</v>
      </c>
      <c r="C646" s="34" t="s">
        <v>223</v>
      </c>
      <c r="D646" s="34" t="s">
        <v>243</v>
      </c>
      <c r="E646" s="32">
        <v>15</v>
      </c>
      <c r="F646" s="34" t="s">
        <v>151</v>
      </c>
      <c r="G646" s="35">
        <v>3.0000000000000001E-3</v>
      </c>
    </row>
    <row r="647" spans="1:7" x14ac:dyDescent="0.2">
      <c r="A647" s="34" t="s">
        <v>52</v>
      </c>
      <c r="B647" s="34" t="s">
        <v>52</v>
      </c>
      <c r="C647" s="34" t="s">
        <v>223</v>
      </c>
      <c r="D647" s="34" t="s">
        <v>244</v>
      </c>
      <c r="E647" s="32">
        <v>15</v>
      </c>
      <c r="F647" s="34" t="s">
        <v>151</v>
      </c>
      <c r="G647" s="35">
        <v>1E-3</v>
      </c>
    </row>
    <row r="648" spans="1:7" x14ac:dyDescent="0.2">
      <c r="A648" s="34" t="s">
        <v>52</v>
      </c>
      <c r="B648" s="34" t="s">
        <v>221</v>
      </c>
      <c r="C648" s="34" t="s">
        <v>65</v>
      </c>
      <c r="D648" s="34" t="s">
        <v>225</v>
      </c>
      <c r="E648" s="32">
        <v>15</v>
      </c>
      <c r="F648" s="34" t="s">
        <v>151</v>
      </c>
      <c r="G648" s="35">
        <v>5.0000000000000001E-4</v>
      </c>
    </row>
    <row r="649" spans="1:7" x14ac:dyDescent="0.2">
      <c r="A649" s="34" t="s">
        <v>52</v>
      </c>
      <c r="B649" s="34" t="s">
        <v>221</v>
      </c>
      <c r="C649" s="34" t="s">
        <v>223</v>
      </c>
      <c r="D649" s="34" t="s">
        <v>226</v>
      </c>
      <c r="E649" s="32">
        <v>15</v>
      </c>
      <c r="F649" s="34" t="s">
        <v>151</v>
      </c>
      <c r="G649" s="35">
        <v>3.0000000000000001E-3</v>
      </c>
    </row>
    <row r="650" spans="1:7" x14ac:dyDescent="0.2">
      <c r="A650" s="34" t="s">
        <v>75</v>
      </c>
      <c r="B650" s="34" t="s">
        <v>75</v>
      </c>
      <c r="C650" s="34" t="s">
        <v>65</v>
      </c>
      <c r="D650" s="34" t="s">
        <v>233</v>
      </c>
      <c r="E650" s="32">
        <v>16</v>
      </c>
      <c r="F650" s="34" t="s">
        <v>151</v>
      </c>
      <c r="G650" s="32">
        <v>7.2649204000000012E-3</v>
      </c>
    </row>
    <row r="651" spans="1:7" x14ac:dyDescent="0.2">
      <c r="A651" s="34" t="s">
        <v>75</v>
      </c>
      <c r="B651" s="34" t="s">
        <v>75</v>
      </c>
      <c r="C651" s="34" t="s">
        <v>65</v>
      </c>
      <c r="D651" s="34" t="s">
        <v>227</v>
      </c>
      <c r="E651" s="32">
        <v>16</v>
      </c>
      <c r="F651" s="34" t="s">
        <v>151</v>
      </c>
      <c r="G651" s="32">
        <v>5.4060475999999982E-3</v>
      </c>
    </row>
    <row r="652" spans="1:7" x14ac:dyDescent="0.2">
      <c r="A652" s="34" t="s">
        <v>75</v>
      </c>
      <c r="B652" s="34" t="s">
        <v>75</v>
      </c>
      <c r="C652" s="34" t="s">
        <v>65</v>
      </c>
      <c r="D652" s="34" t="s">
        <v>228</v>
      </c>
      <c r="E652" s="32">
        <v>16</v>
      </c>
      <c r="F652" s="34" t="s">
        <v>151</v>
      </c>
      <c r="G652" s="32">
        <v>8.9074639999999951E-3</v>
      </c>
    </row>
    <row r="653" spans="1:7" x14ac:dyDescent="0.2">
      <c r="A653" s="34" t="s">
        <v>75</v>
      </c>
      <c r="B653" s="34" t="s">
        <v>75</v>
      </c>
      <c r="C653" s="34" t="s">
        <v>65</v>
      </c>
      <c r="D653" s="34" t="s">
        <v>229</v>
      </c>
      <c r="E653" s="32">
        <v>16</v>
      </c>
      <c r="F653" s="34" t="s">
        <v>151</v>
      </c>
      <c r="G653" s="32">
        <v>1.1118747200000001E-2</v>
      </c>
    </row>
    <row r="654" spans="1:7" x14ac:dyDescent="0.2">
      <c r="A654" s="34" t="s">
        <v>75</v>
      </c>
      <c r="B654" s="34" t="s">
        <v>75</v>
      </c>
      <c r="C654" s="34" t="s">
        <v>65</v>
      </c>
      <c r="D654" s="34" t="s">
        <v>234</v>
      </c>
      <c r="E654" s="32">
        <v>16</v>
      </c>
      <c r="F654" s="34" t="s">
        <v>151</v>
      </c>
      <c r="G654" s="32">
        <v>7.4798052E-3</v>
      </c>
    </row>
    <row r="655" spans="1:7" x14ac:dyDescent="0.2">
      <c r="A655" s="34" t="s">
        <v>75</v>
      </c>
      <c r="B655" s="34" t="s">
        <v>75</v>
      </c>
      <c r="C655" s="34" t="s">
        <v>223</v>
      </c>
      <c r="D655" s="34" t="s">
        <v>230</v>
      </c>
      <c r="E655" s="32">
        <v>16</v>
      </c>
      <c r="F655" s="34" t="s">
        <v>151</v>
      </c>
      <c r="G655" s="32">
        <v>1.2015284000000005E-3</v>
      </c>
    </row>
    <row r="656" spans="1:7" x14ac:dyDescent="0.2">
      <c r="A656" s="34" t="s">
        <v>75</v>
      </c>
      <c r="B656" s="34" t="s">
        <v>75</v>
      </c>
      <c r="C656" s="34" t="s">
        <v>223</v>
      </c>
      <c r="D656" s="34" t="s">
        <v>231</v>
      </c>
      <c r="E656" s="32">
        <v>16</v>
      </c>
      <c r="F656" s="34" t="s">
        <v>151</v>
      </c>
      <c r="G656" s="32">
        <v>8.6228680000000058E-4</v>
      </c>
    </row>
    <row r="657" spans="1:7" x14ac:dyDescent="0.2">
      <c r="A657" s="34" t="s">
        <v>75</v>
      </c>
      <c r="B657" s="34" t="s">
        <v>75</v>
      </c>
      <c r="C657" s="34" t="s">
        <v>223</v>
      </c>
      <c r="D657" s="34" t="s">
        <v>235</v>
      </c>
      <c r="E657" s="32">
        <v>16</v>
      </c>
      <c r="F657" s="34" t="s">
        <v>151</v>
      </c>
      <c r="G657" s="32">
        <v>2.9365588000000008E-3</v>
      </c>
    </row>
    <row r="658" spans="1:7" x14ac:dyDescent="0.2">
      <c r="A658" s="34" t="s">
        <v>75</v>
      </c>
      <c r="B658" s="34" t="s">
        <v>75</v>
      </c>
      <c r="C658" s="34" t="s">
        <v>223</v>
      </c>
      <c r="D658" s="34" t="s">
        <v>232</v>
      </c>
      <c r="E658" s="32">
        <v>16</v>
      </c>
      <c r="F658" s="34" t="s">
        <v>151</v>
      </c>
      <c r="G658" s="32">
        <v>1.6250603600000014E-3</v>
      </c>
    </row>
    <row r="659" spans="1:7" x14ac:dyDescent="0.2">
      <c r="A659" s="34" t="s">
        <v>75</v>
      </c>
      <c r="B659" s="34" t="s">
        <v>75</v>
      </c>
      <c r="C659" s="34" t="s">
        <v>223</v>
      </c>
      <c r="D659" s="34" t="s">
        <v>236</v>
      </c>
      <c r="E659" s="32">
        <v>16</v>
      </c>
      <c r="F659" s="34" t="s">
        <v>151</v>
      </c>
      <c r="G659" s="32">
        <v>2.4479656000000027E-3</v>
      </c>
    </row>
    <row r="660" spans="1:7" x14ac:dyDescent="0.2">
      <c r="A660" s="34" t="s">
        <v>75</v>
      </c>
      <c r="B660" s="34" t="s">
        <v>221</v>
      </c>
      <c r="C660" s="34" t="s">
        <v>65</v>
      </c>
      <c r="D660" s="34" t="s">
        <v>222</v>
      </c>
      <c r="E660" s="32">
        <v>16</v>
      </c>
      <c r="F660" s="34" t="s">
        <v>151</v>
      </c>
      <c r="G660" s="32">
        <v>1.2354770400000003E-2</v>
      </c>
    </row>
    <row r="661" spans="1:7" x14ac:dyDescent="0.2">
      <c r="A661" s="34" t="s">
        <v>75</v>
      </c>
      <c r="B661" s="34" t="s">
        <v>221</v>
      </c>
      <c r="C661" s="34" t="s">
        <v>223</v>
      </c>
      <c r="D661" s="34" t="s">
        <v>224</v>
      </c>
      <c r="E661" s="32">
        <v>16</v>
      </c>
      <c r="F661" s="34" t="s">
        <v>151</v>
      </c>
      <c r="G661" s="32">
        <v>4.5486788000000007E-3</v>
      </c>
    </row>
    <row r="662" spans="1:7" x14ac:dyDescent="0.2">
      <c r="A662" s="34" t="s">
        <v>52</v>
      </c>
      <c r="B662" s="34" t="s">
        <v>52</v>
      </c>
      <c r="C662" s="34" t="s">
        <v>65</v>
      </c>
      <c r="D662" s="34" t="s">
        <v>237</v>
      </c>
      <c r="E662" s="32">
        <v>16</v>
      </c>
      <c r="F662" s="34" t="s">
        <v>151</v>
      </c>
      <c r="G662" s="32">
        <v>3.9892419599999989E-3</v>
      </c>
    </row>
    <row r="663" spans="1:7" x14ac:dyDescent="0.2">
      <c r="A663" s="34" t="s">
        <v>52</v>
      </c>
      <c r="B663" s="34" t="s">
        <v>52</v>
      </c>
      <c r="C663" s="34" t="s">
        <v>65</v>
      </c>
      <c r="D663" s="34" t="s">
        <v>238</v>
      </c>
      <c r="E663" s="32">
        <v>16</v>
      </c>
      <c r="F663" s="34" t="s">
        <v>151</v>
      </c>
      <c r="G663" s="32">
        <v>3.6268843600000007E-3</v>
      </c>
    </row>
    <row r="664" spans="1:7" x14ac:dyDescent="0.2">
      <c r="A664" s="34" t="s">
        <v>52</v>
      </c>
      <c r="B664" s="34" t="s">
        <v>52</v>
      </c>
      <c r="C664" s="34" t="s">
        <v>65</v>
      </c>
      <c r="D664" s="34" t="s">
        <v>239</v>
      </c>
      <c r="E664" s="32">
        <v>16</v>
      </c>
      <c r="F664" s="34" t="s">
        <v>151</v>
      </c>
      <c r="G664" s="32">
        <v>4.3608878800000007E-3</v>
      </c>
    </row>
    <row r="665" spans="1:7" x14ac:dyDescent="0.2">
      <c r="A665" s="34" t="s">
        <v>52</v>
      </c>
      <c r="B665" s="34" t="s">
        <v>52</v>
      </c>
      <c r="C665" s="34" t="s">
        <v>65</v>
      </c>
      <c r="D665" s="34" t="s">
        <v>240</v>
      </c>
      <c r="E665" s="32">
        <v>16</v>
      </c>
      <c r="F665" s="34" t="s">
        <v>151</v>
      </c>
      <c r="G665" s="32">
        <v>3.0847896800000035E-3</v>
      </c>
    </row>
    <row r="666" spans="1:7" x14ac:dyDescent="0.2">
      <c r="A666" s="34" t="s">
        <v>52</v>
      </c>
      <c r="B666" s="34" t="s">
        <v>52</v>
      </c>
      <c r="C666" s="34" t="s">
        <v>65</v>
      </c>
      <c r="D666" s="34" t="s">
        <v>245</v>
      </c>
      <c r="E666" s="32">
        <v>16</v>
      </c>
      <c r="F666" s="34" t="s">
        <v>151</v>
      </c>
      <c r="G666" s="32">
        <v>4.0281883600000006E-3</v>
      </c>
    </row>
    <row r="667" spans="1:7" x14ac:dyDescent="0.2">
      <c r="A667" s="34" t="s">
        <v>52</v>
      </c>
      <c r="B667" s="34" t="s">
        <v>52</v>
      </c>
      <c r="C667" s="34" t="s">
        <v>223</v>
      </c>
      <c r="D667" s="34" t="s">
        <v>241</v>
      </c>
      <c r="E667" s="32">
        <v>16</v>
      </c>
      <c r="F667" s="34" t="s">
        <v>151</v>
      </c>
      <c r="G667" s="32">
        <v>6.1974796000000259E-4</v>
      </c>
    </row>
    <row r="668" spans="1:7" x14ac:dyDescent="0.2">
      <c r="A668" s="34" t="s">
        <v>52</v>
      </c>
      <c r="B668" s="34" t="s">
        <v>52</v>
      </c>
      <c r="C668" s="34" t="s">
        <v>223</v>
      </c>
      <c r="D668" s="34" t="s">
        <v>246</v>
      </c>
      <c r="E668" s="32">
        <v>16</v>
      </c>
      <c r="F668" s="34" t="s">
        <v>151</v>
      </c>
      <c r="G668" s="32">
        <v>0</v>
      </c>
    </row>
    <row r="669" spans="1:7" x14ac:dyDescent="0.2">
      <c r="A669" s="34" t="s">
        <v>52</v>
      </c>
      <c r="B669" s="34" t="s">
        <v>52</v>
      </c>
      <c r="C669" s="34" t="s">
        <v>223</v>
      </c>
      <c r="D669" s="34" t="s">
        <v>242</v>
      </c>
      <c r="E669" s="32">
        <v>16</v>
      </c>
      <c r="F669" s="34" t="s">
        <v>151</v>
      </c>
      <c r="G669" s="32">
        <v>6.3686636000000098E-4</v>
      </c>
    </row>
    <row r="670" spans="1:7" x14ac:dyDescent="0.2">
      <c r="A670" s="34" t="s">
        <v>52</v>
      </c>
      <c r="B670" s="34" t="s">
        <v>52</v>
      </c>
      <c r="C670" s="34" t="s">
        <v>223</v>
      </c>
      <c r="D670" s="34" t="s">
        <v>243</v>
      </c>
      <c r="E670" s="32">
        <v>16</v>
      </c>
      <c r="F670" s="34" t="s">
        <v>151</v>
      </c>
      <c r="G670" s="32">
        <v>2.8802379599999987E-3</v>
      </c>
    </row>
    <row r="671" spans="1:7" x14ac:dyDescent="0.2">
      <c r="A671" s="34" t="s">
        <v>52</v>
      </c>
      <c r="B671" s="34" t="s">
        <v>52</v>
      </c>
      <c r="C671" s="34" t="s">
        <v>223</v>
      </c>
      <c r="D671" s="34" t="s">
        <v>244</v>
      </c>
      <c r="E671" s="32">
        <v>16</v>
      </c>
      <c r="F671" s="34" t="s">
        <v>151</v>
      </c>
      <c r="G671" s="32">
        <v>0</v>
      </c>
    </row>
    <row r="672" spans="1:7" x14ac:dyDescent="0.2">
      <c r="A672" s="34" t="s">
        <v>52</v>
      </c>
      <c r="B672" s="34" t="s">
        <v>221</v>
      </c>
      <c r="C672" s="34" t="s">
        <v>65</v>
      </c>
      <c r="D672" s="34" t="s">
        <v>225</v>
      </c>
      <c r="E672" s="32">
        <v>16</v>
      </c>
      <c r="F672" s="34" t="s">
        <v>151</v>
      </c>
      <c r="G672" s="32">
        <v>5.7151755600000007E-3</v>
      </c>
    </row>
    <row r="673" spans="1:7" x14ac:dyDescent="0.2">
      <c r="A673" s="34" t="s">
        <v>52</v>
      </c>
      <c r="B673" s="34" t="s">
        <v>221</v>
      </c>
      <c r="C673" s="34" t="s">
        <v>223</v>
      </c>
      <c r="D673" s="34" t="s">
        <v>226</v>
      </c>
      <c r="E673" s="32">
        <v>16</v>
      </c>
      <c r="F673" s="34" t="s">
        <v>151</v>
      </c>
      <c r="G673" s="32">
        <v>9.1861236000000037E-4</v>
      </c>
    </row>
    <row r="674" spans="1:7" x14ac:dyDescent="0.2">
      <c r="A674" s="34" t="s">
        <v>75</v>
      </c>
      <c r="B674" s="34" t="s">
        <v>75</v>
      </c>
      <c r="C674" s="34" t="s">
        <v>65</v>
      </c>
      <c r="D674" s="34" t="s">
        <v>233</v>
      </c>
      <c r="E674" s="32">
        <v>17</v>
      </c>
      <c r="F674" s="34" t="s">
        <v>151</v>
      </c>
      <c r="G674" s="32">
        <v>5.3794335580000026E-2</v>
      </c>
    </row>
    <row r="675" spans="1:7" x14ac:dyDescent="0.2">
      <c r="A675" s="34" t="s">
        <v>75</v>
      </c>
      <c r="B675" s="34" t="s">
        <v>75</v>
      </c>
      <c r="C675" s="34" t="s">
        <v>65</v>
      </c>
      <c r="D675" s="34" t="s">
        <v>227</v>
      </c>
      <c r="E675" s="32">
        <v>17</v>
      </c>
      <c r="F675" s="34" t="s">
        <v>151</v>
      </c>
      <c r="G675" s="32">
        <v>5.0782591580000008E-2</v>
      </c>
    </row>
    <row r="676" spans="1:7" x14ac:dyDescent="0.2">
      <c r="A676" s="34" t="s">
        <v>75</v>
      </c>
      <c r="B676" s="34" t="s">
        <v>75</v>
      </c>
      <c r="C676" s="34" t="s">
        <v>65</v>
      </c>
      <c r="D676" s="34" t="s">
        <v>228</v>
      </c>
      <c r="E676" s="32">
        <v>17</v>
      </c>
      <c r="F676" s="34" t="s">
        <v>151</v>
      </c>
      <c r="G676" s="32">
        <v>6.5179095579999999E-2</v>
      </c>
    </row>
    <row r="677" spans="1:7" x14ac:dyDescent="0.2">
      <c r="A677" s="34" t="s">
        <v>75</v>
      </c>
      <c r="B677" s="34" t="s">
        <v>75</v>
      </c>
      <c r="C677" s="34" t="s">
        <v>65</v>
      </c>
      <c r="D677" s="34" t="s">
        <v>229</v>
      </c>
      <c r="E677" s="32">
        <v>17</v>
      </c>
      <c r="F677" s="34" t="s">
        <v>151</v>
      </c>
      <c r="G677" s="32">
        <v>6.4590795579999999E-2</v>
      </c>
    </row>
    <row r="678" spans="1:7" x14ac:dyDescent="0.2">
      <c r="A678" s="34" t="s">
        <v>75</v>
      </c>
      <c r="B678" s="34" t="s">
        <v>75</v>
      </c>
      <c r="C678" s="34" t="s">
        <v>65</v>
      </c>
      <c r="D678" s="34" t="s">
        <v>234</v>
      </c>
      <c r="E678" s="32">
        <v>17</v>
      </c>
      <c r="F678" s="34" t="s">
        <v>151</v>
      </c>
      <c r="G678" s="32">
        <v>7.8168591580000002E-2</v>
      </c>
    </row>
    <row r="679" spans="1:7" x14ac:dyDescent="0.2">
      <c r="A679" s="34" t="s">
        <v>75</v>
      </c>
      <c r="B679" s="34" t="s">
        <v>75</v>
      </c>
      <c r="C679" s="34" t="s">
        <v>223</v>
      </c>
      <c r="D679" s="34" t="s">
        <v>230</v>
      </c>
      <c r="E679" s="32">
        <v>17</v>
      </c>
      <c r="F679" s="34" t="s">
        <v>151</v>
      </c>
      <c r="G679" s="32">
        <v>8.2066427800000022E-3</v>
      </c>
    </row>
    <row r="680" spans="1:7" x14ac:dyDescent="0.2">
      <c r="A680" s="34" t="s">
        <v>75</v>
      </c>
      <c r="B680" s="34" t="s">
        <v>75</v>
      </c>
      <c r="C680" s="34" t="s">
        <v>223</v>
      </c>
      <c r="D680" s="34" t="s">
        <v>231</v>
      </c>
      <c r="E680" s="32">
        <v>17</v>
      </c>
      <c r="F680" s="34" t="s">
        <v>151</v>
      </c>
      <c r="G680" s="32">
        <v>8.1558491799999973E-3</v>
      </c>
    </row>
    <row r="681" spans="1:7" x14ac:dyDescent="0.2">
      <c r="A681" s="34" t="s">
        <v>75</v>
      </c>
      <c r="B681" s="34" t="s">
        <v>75</v>
      </c>
      <c r="C681" s="34" t="s">
        <v>223</v>
      </c>
      <c r="D681" s="34" t="s">
        <v>235</v>
      </c>
      <c r="E681" s="32">
        <v>17</v>
      </c>
      <c r="F681" s="34" t="s">
        <v>151</v>
      </c>
      <c r="G681" s="32">
        <v>1.0968462780000004E-2</v>
      </c>
    </row>
    <row r="682" spans="1:7" x14ac:dyDescent="0.2">
      <c r="A682" s="34" t="s">
        <v>75</v>
      </c>
      <c r="B682" s="34" t="s">
        <v>75</v>
      </c>
      <c r="C682" s="34" t="s">
        <v>223</v>
      </c>
      <c r="D682" s="34" t="s">
        <v>232</v>
      </c>
      <c r="E682" s="32">
        <v>17</v>
      </c>
      <c r="F682" s="34" t="s">
        <v>151</v>
      </c>
      <c r="G682" s="32">
        <v>1.0440317979999999E-2</v>
      </c>
    </row>
    <row r="683" spans="1:7" x14ac:dyDescent="0.2">
      <c r="A683" s="34" t="s">
        <v>75</v>
      </c>
      <c r="B683" s="34" t="s">
        <v>75</v>
      </c>
      <c r="C683" s="34" t="s">
        <v>223</v>
      </c>
      <c r="D683" s="34" t="s">
        <v>236</v>
      </c>
      <c r="E683" s="32">
        <v>17</v>
      </c>
      <c r="F683" s="34" t="s">
        <v>151</v>
      </c>
      <c r="G683" s="32">
        <v>1.0252151980000002E-2</v>
      </c>
    </row>
    <row r="684" spans="1:7" x14ac:dyDescent="0.2">
      <c r="A684" s="34" t="s">
        <v>75</v>
      </c>
      <c r="B684" s="34" t="s">
        <v>221</v>
      </c>
      <c r="C684" s="34" t="s">
        <v>65</v>
      </c>
      <c r="D684" s="34" t="s">
        <v>222</v>
      </c>
      <c r="E684" s="32">
        <v>17</v>
      </c>
      <c r="F684" s="34" t="s">
        <v>151</v>
      </c>
      <c r="G684" s="32">
        <v>8.4063479580000017E-2</v>
      </c>
    </row>
    <row r="685" spans="1:7" x14ac:dyDescent="0.2">
      <c r="A685" s="34" t="s">
        <v>75</v>
      </c>
      <c r="B685" s="34" t="s">
        <v>221</v>
      </c>
      <c r="C685" s="34" t="s">
        <v>223</v>
      </c>
      <c r="D685" s="34" t="s">
        <v>224</v>
      </c>
      <c r="E685" s="32">
        <v>17</v>
      </c>
      <c r="F685" s="34" t="s">
        <v>151</v>
      </c>
      <c r="G685" s="32">
        <v>2.9756347580000002E-2</v>
      </c>
    </row>
    <row r="686" spans="1:7" x14ac:dyDescent="0.2">
      <c r="A686" s="34" t="s">
        <v>52</v>
      </c>
      <c r="B686" s="34" t="s">
        <v>52</v>
      </c>
      <c r="C686" s="34" t="s">
        <v>65</v>
      </c>
      <c r="D686" s="34" t="s">
        <v>237</v>
      </c>
      <c r="E686" s="32">
        <v>17</v>
      </c>
      <c r="F686" s="34" t="s">
        <v>151</v>
      </c>
      <c r="G686" s="32">
        <v>1.7775706160500004E-2</v>
      </c>
    </row>
    <row r="687" spans="1:7" x14ac:dyDescent="0.2">
      <c r="A687" s="34" t="s">
        <v>52</v>
      </c>
      <c r="B687" s="34" t="s">
        <v>52</v>
      </c>
      <c r="C687" s="34" t="s">
        <v>65</v>
      </c>
      <c r="D687" s="34" t="s">
        <v>238</v>
      </c>
      <c r="E687" s="32">
        <v>17</v>
      </c>
      <c r="F687" s="34" t="s">
        <v>151</v>
      </c>
      <c r="G687" s="32">
        <v>1.7820978160499996E-2</v>
      </c>
    </row>
    <row r="688" spans="1:7" x14ac:dyDescent="0.2">
      <c r="A688" s="34" t="s">
        <v>52</v>
      </c>
      <c r="B688" s="34" t="s">
        <v>52</v>
      </c>
      <c r="C688" s="34" t="s">
        <v>65</v>
      </c>
      <c r="D688" s="34" t="s">
        <v>239</v>
      </c>
      <c r="E688" s="32">
        <v>17</v>
      </c>
      <c r="F688" s="34" t="s">
        <v>151</v>
      </c>
      <c r="G688" s="32">
        <v>1.9065058160499998E-2</v>
      </c>
    </row>
    <row r="689" spans="1:7" x14ac:dyDescent="0.2">
      <c r="A689" s="34" t="s">
        <v>52</v>
      </c>
      <c r="B689" s="34" t="s">
        <v>52</v>
      </c>
      <c r="C689" s="34" t="s">
        <v>65</v>
      </c>
      <c r="D689" s="34" t="s">
        <v>240</v>
      </c>
      <c r="E689" s="32">
        <v>17</v>
      </c>
      <c r="F689" s="34" t="s">
        <v>151</v>
      </c>
      <c r="G689" s="32">
        <v>2.8159818160499998E-2</v>
      </c>
    </row>
    <row r="690" spans="1:7" x14ac:dyDescent="0.2">
      <c r="A690" s="34" t="s">
        <v>52</v>
      </c>
      <c r="B690" s="34" t="s">
        <v>52</v>
      </c>
      <c r="C690" s="34" t="s">
        <v>65</v>
      </c>
      <c r="D690" s="34" t="s">
        <v>245</v>
      </c>
      <c r="E690" s="32">
        <v>17</v>
      </c>
      <c r="F690" s="34" t="s">
        <v>151</v>
      </c>
      <c r="G690" s="32">
        <v>1.7691934160499995E-2</v>
      </c>
    </row>
    <row r="691" spans="1:7" x14ac:dyDescent="0.2">
      <c r="A691" s="34" t="s">
        <v>52</v>
      </c>
      <c r="B691" s="34" t="s">
        <v>52</v>
      </c>
      <c r="C691" s="34" t="s">
        <v>223</v>
      </c>
      <c r="D691" s="34" t="s">
        <v>241</v>
      </c>
      <c r="E691" s="32">
        <v>17</v>
      </c>
      <c r="F691" s="34" t="s">
        <v>151</v>
      </c>
      <c r="G691" s="32">
        <v>2.2105205604999985E-3</v>
      </c>
    </row>
    <row r="692" spans="1:7" x14ac:dyDescent="0.2">
      <c r="A692" s="34" t="s">
        <v>52</v>
      </c>
      <c r="B692" s="34" t="s">
        <v>52</v>
      </c>
      <c r="C692" s="34" t="s">
        <v>223</v>
      </c>
      <c r="D692" s="34" t="s">
        <v>246</v>
      </c>
      <c r="E692" s="32">
        <v>17</v>
      </c>
      <c r="F692" s="34" t="s">
        <v>151</v>
      </c>
      <c r="G692" s="32">
        <v>0</v>
      </c>
    </row>
    <row r="693" spans="1:7" x14ac:dyDescent="0.2">
      <c r="A693" s="34" t="s">
        <v>52</v>
      </c>
      <c r="B693" s="34" t="s">
        <v>52</v>
      </c>
      <c r="C693" s="34" t="s">
        <v>223</v>
      </c>
      <c r="D693" s="34" t="s">
        <v>242</v>
      </c>
      <c r="E693" s="32">
        <v>17</v>
      </c>
      <c r="F693" s="34" t="s">
        <v>151</v>
      </c>
      <c r="G693" s="32">
        <v>1.4668661604999994E-3</v>
      </c>
    </row>
    <row r="694" spans="1:7" x14ac:dyDescent="0.2">
      <c r="A694" s="34" t="s">
        <v>52</v>
      </c>
      <c r="B694" s="34" t="s">
        <v>52</v>
      </c>
      <c r="C694" s="34" t="s">
        <v>223</v>
      </c>
      <c r="D694" s="34" t="s">
        <v>243</v>
      </c>
      <c r="E694" s="32">
        <v>17</v>
      </c>
      <c r="F694" s="34" t="s">
        <v>151</v>
      </c>
      <c r="G694" s="32">
        <v>2.2089941604999984E-3</v>
      </c>
    </row>
    <row r="695" spans="1:7" x14ac:dyDescent="0.2">
      <c r="A695" s="34" t="s">
        <v>52</v>
      </c>
      <c r="B695" s="34" t="s">
        <v>52</v>
      </c>
      <c r="C695" s="34" t="s">
        <v>223</v>
      </c>
      <c r="D695" s="34" t="s">
        <v>244</v>
      </c>
      <c r="E695" s="32">
        <v>17</v>
      </c>
      <c r="F695" s="34" t="s">
        <v>151</v>
      </c>
      <c r="G695" s="32">
        <v>0</v>
      </c>
    </row>
    <row r="696" spans="1:7" x14ac:dyDescent="0.2">
      <c r="A696" s="34" t="s">
        <v>52</v>
      </c>
      <c r="B696" s="34" t="s">
        <v>221</v>
      </c>
      <c r="C696" s="34" t="s">
        <v>65</v>
      </c>
      <c r="D696" s="34" t="s">
        <v>225</v>
      </c>
      <c r="E696" s="32">
        <v>17</v>
      </c>
      <c r="F696" s="34" t="s">
        <v>151</v>
      </c>
      <c r="G696" s="32">
        <v>1.3806654160500002E-2</v>
      </c>
    </row>
    <row r="697" spans="1:7" x14ac:dyDescent="0.2">
      <c r="A697" s="34" t="s">
        <v>52</v>
      </c>
      <c r="B697" s="34" t="s">
        <v>221</v>
      </c>
      <c r="C697" s="34" t="s">
        <v>223</v>
      </c>
      <c r="D697" s="34" t="s">
        <v>226</v>
      </c>
      <c r="E697" s="32">
        <v>17</v>
      </c>
      <c r="F697" s="34" t="s">
        <v>151</v>
      </c>
      <c r="G697" s="32">
        <v>7.9955896049999954E-4</v>
      </c>
    </row>
    <row r="698" spans="1:7" x14ac:dyDescent="0.2">
      <c r="A698" s="34" t="s">
        <v>75</v>
      </c>
      <c r="B698" s="34" t="s">
        <v>75</v>
      </c>
      <c r="C698" s="34" t="s">
        <v>65</v>
      </c>
      <c r="D698" s="34" t="s">
        <v>233</v>
      </c>
      <c r="E698" s="32">
        <v>18</v>
      </c>
      <c r="F698" s="34" t="s">
        <v>151</v>
      </c>
      <c r="G698" s="35">
        <v>0.36052606998999986</v>
      </c>
    </row>
    <row r="699" spans="1:7" x14ac:dyDescent="0.2">
      <c r="A699" s="34" t="s">
        <v>75</v>
      </c>
      <c r="B699" s="34" t="s">
        <v>75</v>
      </c>
      <c r="C699" s="34" t="s">
        <v>65</v>
      </c>
      <c r="D699" s="34" t="s">
        <v>227</v>
      </c>
      <c r="E699" s="32">
        <v>18</v>
      </c>
      <c r="F699" s="34" t="s">
        <v>151</v>
      </c>
      <c r="G699" s="35">
        <v>0.36088354999</v>
      </c>
    </row>
    <row r="700" spans="1:7" x14ac:dyDescent="0.2">
      <c r="A700" s="34" t="s">
        <v>75</v>
      </c>
      <c r="B700" s="34" t="s">
        <v>75</v>
      </c>
      <c r="C700" s="34" t="s">
        <v>65</v>
      </c>
      <c r="D700" s="34" t="s">
        <v>228</v>
      </c>
      <c r="E700" s="32">
        <v>18</v>
      </c>
      <c r="F700" s="34" t="s">
        <v>151</v>
      </c>
      <c r="G700" s="35">
        <v>0.46065366999000007</v>
      </c>
    </row>
    <row r="701" spans="1:7" x14ac:dyDescent="0.2">
      <c r="A701" s="34" t="s">
        <v>75</v>
      </c>
      <c r="B701" s="34" t="s">
        <v>75</v>
      </c>
      <c r="C701" s="34" t="s">
        <v>65</v>
      </c>
      <c r="D701" s="34" t="s">
        <v>229</v>
      </c>
      <c r="E701" s="32">
        <v>18</v>
      </c>
      <c r="F701" s="34" t="s">
        <v>151</v>
      </c>
      <c r="G701" s="35">
        <v>0.46476514999000013</v>
      </c>
    </row>
    <row r="702" spans="1:7" x14ac:dyDescent="0.2">
      <c r="A702" s="34" t="s">
        <v>75</v>
      </c>
      <c r="B702" s="34" t="s">
        <v>75</v>
      </c>
      <c r="C702" s="34" t="s">
        <v>65</v>
      </c>
      <c r="D702" s="34" t="s">
        <v>234</v>
      </c>
      <c r="E702" s="32">
        <v>18</v>
      </c>
      <c r="F702" s="34" t="s">
        <v>151</v>
      </c>
      <c r="G702" s="35">
        <v>0.48538458999000006</v>
      </c>
    </row>
    <row r="703" spans="1:7" x14ac:dyDescent="0.2">
      <c r="A703" s="34" t="s">
        <v>75</v>
      </c>
      <c r="B703" s="34" t="s">
        <v>75</v>
      </c>
      <c r="C703" s="34" t="s">
        <v>223</v>
      </c>
      <c r="D703" s="34" t="s">
        <v>230</v>
      </c>
      <c r="E703" s="32">
        <v>18</v>
      </c>
      <c r="F703" s="34" t="s">
        <v>151</v>
      </c>
      <c r="G703" s="35">
        <v>4.961367399000001E-2</v>
      </c>
    </row>
    <row r="704" spans="1:7" x14ac:dyDescent="0.2">
      <c r="A704" s="34" t="s">
        <v>75</v>
      </c>
      <c r="B704" s="34" t="s">
        <v>75</v>
      </c>
      <c r="C704" s="34" t="s">
        <v>223</v>
      </c>
      <c r="D704" s="34" t="s">
        <v>231</v>
      </c>
      <c r="E704" s="32">
        <v>18</v>
      </c>
      <c r="F704" s="34" t="s">
        <v>151</v>
      </c>
      <c r="G704" s="35">
        <v>4.4851765990000007E-2</v>
      </c>
    </row>
    <row r="705" spans="1:7" x14ac:dyDescent="0.2">
      <c r="A705" s="34" t="s">
        <v>75</v>
      </c>
      <c r="B705" s="34" t="s">
        <v>75</v>
      </c>
      <c r="C705" s="34" t="s">
        <v>223</v>
      </c>
      <c r="D705" s="34" t="s">
        <v>235</v>
      </c>
      <c r="E705" s="32">
        <v>18</v>
      </c>
      <c r="F705" s="34" t="s">
        <v>151</v>
      </c>
      <c r="G705" s="35">
        <v>4.8217901990000006E-2</v>
      </c>
    </row>
    <row r="706" spans="1:7" x14ac:dyDescent="0.2">
      <c r="A706" s="34" t="s">
        <v>75</v>
      </c>
      <c r="B706" s="34" t="s">
        <v>75</v>
      </c>
      <c r="C706" s="34" t="s">
        <v>223</v>
      </c>
      <c r="D706" s="34" t="s">
        <v>232</v>
      </c>
      <c r="E706" s="32">
        <v>18</v>
      </c>
      <c r="F706" s="34" t="s">
        <v>151</v>
      </c>
      <c r="G706" s="35">
        <v>0.11233945399</v>
      </c>
    </row>
    <row r="707" spans="1:7" x14ac:dyDescent="0.2">
      <c r="A707" s="34" t="s">
        <v>75</v>
      </c>
      <c r="B707" s="34" t="s">
        <v>75</v>
      </c>
      <c r="C707" s="34" t="s">
        <v>223</v>
      </c>
      <c r="D707" s="34" t="s">
        <v>236</v>
      </c>
      <c r="E707" s="32">
        <v>18</v>
      </c>
      <c r="F707" s="34" t="s">
        <v>151</v>
      </c>
      <c r="G707" s="35">
        <v>5.3389677989999995E-2</v>
      </c>
    </row>
    <row r="708" spans="1:7" x14ac:dyDescent="0.2">
      <c r="A708" s="34" t="s">
        <v>75</v>
      </c>
      <c r="B708" s="34" t="s">
        <v>221</v>
      </c>
      <c r="C708" s="34" t="s">
        <v>65</v>
      </c>
      <c r="D708" s="34" t="s">
        <v>222</v>
      </c>
      <c r="E708" s="32">
        <v>18</v>
      </c>
      <c r="F708" s="34" t="s">
        <v>151</v>
      </c>
      <c r="G708" s="35">
        <v>0.40242890999000008</v>
      </c>
    </row>
    <row r="709" spans="1:7" x14ac:dyDescent="0.2">
      <c r="A709" s="34" t="s">
        <v>75</v>
      </c>
      <c r="B709" s="34" t="s">
        <v>221</v>
      </c>
      <c r="C709" s="34" t="s">
        <v>223</v>
      </c>
      <c r="D709" s="34" t="s">
        <v>224</v>
      </c>
      <c r="E709" s="32">
        <v>18</v>
      </c>
      <c r="F709" s="34" t="s">
        <v>151</v>
      </c>
      <c r="G709" s="35">
        <v>0.16265672998999997</v>
      </c>
    </row>
    <row r="710" spans="1:7" x14ac:dyDescent="0.2">
      <c r="A710" s="34" t="s">
        <v>52</v>
      </c>
      <c r="B710" s="34" t="s">
        <v>52</v>
      </c>
      <c r="C710" s="34" t="s">
        <v>65</v>
      </c>
      <c r="D710" s="34" t="s">
        <v>237</v>
      </c>
      <c r="E710" s="32">
        <v>18</v>
      </c>
      <c r="F710" s="34" t="s">
        <v>151</v>
      </c>
      <c r="G710" s="35">
        <v>0.15413442387254003</v>
      </c>
    </row>
    <row r="711" spans="1:7" x14ac:dyDescent="0.2">
      <c r="A711" s="34" t="s">
        <v>52</v>
      </c>
      <c r="B711" s="34" t="s">
        <v>52</v>
      </c>
      <c r="C711" s="34" t="s">
        <v>65</v>
      </c>
      <c r="D711" s="34" t="s">
        <v>238</v>
      </c>
      <c r="E711" s="32">
        <v>18</v>
      </c>
      <c r="F711" s="34" t="s">
        <v>151</v>
      </c>
      <c r="G711" s="35">
        <v>0.14894462387253998</v>
      </c>
    </row>
    <row r="712" spans="1:7" x14ac:dyDescent="0.2">
      <c r="A712" s="34" t="s">
        <v>52</v>
      </c>
      <c r="B712" s="34" t="s">
        <v>52</v>
      </c>
      <c r="C712" s="34" t="s">
        <v>65</v>
      </c>
      <c r="D712" s="34" t="s">
        <v>239</v>
      </c>
      <c r="E712" s="32">
        <v>18</v>
      </c>
      <c r="F712" s="34" t="s">
        <v>151</v>
      </c>
      <c r="G712" s="35">
        <v>0.16697118387254004</v>
      </c>
    </row>
    <row r="713" spans="1:7" x14ac:dyDescent="0.2">
      <c r="A713" s="34" t="s">
        <v>52</v>
      </c>
      <c r="B713" s="34" t="s">
        <v>52</v>
      </c>
      <c r="C713" s="34" t="s">
        <v>65</v>
      </c>
      <c r="D713" s="34" t="s">
        <v>240</v>
      </c>
      <c r="E713" s="32">
        <v>18</v>
      </c>
      <c r="F713" s="34" t="s">
        <v>151</v>
      </c>
      <c r="G713" s="35">
        <v>0.21441030387253998</v>
      </c>
    </row>
    <row r="714" spans="1:7" x14ac:dyDescent="0.2">
      <c r="A714" s="34" t="s">
        <v>52</v>
      </c>
      <c r="B714" s="34" t="s">
        <v>52</v>
      </c>
      <c r="C714" s="34" t="s">
        <v>65</v>
      </c>
      <c r="D714" s="34" t="s">
        <v>245</v>
      </c>
      <c r="E714" s="32">
        <v>18</v>
      </c>
      <c r="F714" s="34" t="s">
        <v>151</v>
      </c>
      <c r="G714" s="35">
        <v>0.19164198387253997</v>
      </c>
    </row>
    <row r="715" spans="1:7" x14ac:dyDescent="0.2">
      <c r="A715" s="34" t="s">
        <v>52</v>
      </c>
      <c r="B715" s="34" t="s">
        <v>52</v>
      </c>
      <c r="C715" s="34" t="s">
        <v>223</v>
      </c>
      <c r="D715" s="34" t="s">
        <v>241</v>
      </c>
      <c r="E715" s="32">
        <v>18</v>
      </c>
      <c r="F715" s="34" t="s">
        <v>151</v>
      </c>
      <c r="G715" s="35">
        <v>5.4336966725400029E-3</v>
      </c>
    </row>
    <row r="716" spans="1:7" x14ac:dyDescent="0.2">
      <c r="A716" s="34" t="s">
        <v>52</v>
      </c>
      <c r="B716" s="34" t="s">
        <v>52</v>
      </c>
      <c r="C716" s="34" t="s">
        <v>223</v>
      </c>
      <c r="D716" s="34" t="s">
        <v>246</v>
      </c>
      <c r="E716" s="32">
        <v>18</v>
      </c>
      <c r="F716" s="34" t="s">
        <v>151</v>
      </c>
      <c r="G716" s="35">
        <v>5.0000000000000001E-4</v>
      </c>
    </row>
    <row r="717" spans="1:7" x14ac:dyDescent="0.2">
      <c r="A717" s="34" t="s">
        <v>52</v>
      </c>
      <c r="B717" s="34" t="s">
        <v>52</v>
      </c>
      <c r="C717" s="34" t="s">
        <v>223</v>
      </c>
      <c r="D717" s="34" t="s">
        <v>242</v>
      </c>
      <c r="E717" s="32">
        <v>18</v>
      </c>
      <c r="F717" s="34" t="s">
        <v>151</v>
      </c>
      <c r="G717" s="35">
        <v>3.6402297925400007E-3</v>
      </c>
    </row>
    <row r="718" spans="1:7" x14ac:dyDescent="0.2">
      <c r="A718" s="34" t="s">
        <v>52</v>
      </c>
      <c r="B718" s="34" t="s">
        <v>52</v>
      </c>
      <c r="C718" s="34" t="s">
        <v>223</v>
      </c>
      <c r="D718" s="34" t="s">
        <v>243</v>
      </c>
      <c r="E718" s="32">
        <v>18</v>
      </c>
      <c r="F718" s="34" t="s">
        <v>151</v>
      </c>
      <c r="G718" s="35">
        <v>1.5718177072539995E-2</v>
      </c>
    </row>
    <row r="719" spans="1:7" x14ac:dyDescent="0.2">
      <c r="A719" s="34" t="s">
        <v>52</v>
      </c>
      <c r="B719" s="34" t="s">
        <v>52</v>
      </c>
      <c r="C719" s="34" t="s">
        <v>223</v>
      </c>
      <c r="D719" s="34" t="s">
        <v>244</v>
      </c>
      <c r="E719" s="32">
        <v>18</v>
      </c>
      <c r="F719" s="34" t="s">
        <v>151</v>
      </c>
      <c r="G719" s="35">
        <v>5.0000000000000001E-4</v>
      </c>
    </row>
    <row r="720" spans="1:7" x14ac:dyDescent="0.2">
      <c r="A720" s="34" t="s">
        <v>52</v>
      </c>
      <c r="B720" s="34" t="s">
        <v>221</v>
      </c>
      <c r="C720" s="34" t="s">
        <v>65</v>
      </c>
      <c r="D720" s="34" t="s">
        <v>225</v>
      </c>
      <c r="E720" s="32">
        <v>18</v>
      </c>
      <c r="F720" s="34" t="s">
        <v>151</v>
      </c>
      <c r="G720" s="35">
        <v>8.9832491872540013E-2</v>
      </c>
    </row>
    <row r="721" spans="1:7" x14ac:dyDescent="0.2">
      <c r="A721" s="34" t="s">
        <v>52</v>
      </c>
      <c r="B721" s="34" t="s">
        <v>221</v>
      </c>
      <c r="C721" s="34" t="s">
        <v>223</v>
      </c>
      <c r="D721" s="34" t="s">
        <v>226</v>
      </c>
      <c r="E721" s="32">
        <v>18</v>
      </c>
      <c r="F721" s="34" t="s">
        <v>151</v>
      </c>
      <c r="G721" s="35">
        <v>3.6411358725399988E-3</v>
      </c>
    </row>
    <row r="722" spans="1:7" x14ac:dyDescent="0.2">
      <c r="A722" s="34" t="s">
        <v>75</v>
      </c>
      <c r="B722" s="34" t="s">
        <v>75</v>
      </c>
      <c r="C722" s="34" t="s">
        <v>65</v>
      </c>
      <c r="D722" s="34" t="s">
        <v>233</v>
      </c>
      <c r="E722" s="32">
        <v>18</v>
      </c>
      <c r="F722" s="34" t="s">
        <v>151</v>
      </c>
      <c r="G722" s="35">
        <v>1.5E-3</v>
      </c>
    </row>
    <row r="723" spans="1:7" x14ac:dyDescent="0.2">
      <c r="A723" s="34" t="s">
        <v>75</v>
      </c>
      <c r="B723" s="34" t="s">
        <v>75</v>
      </c>
      <c r="C723" s="34" t="s">
        <v>65</v>
      </c>
      <c r="D723" s="34" t="s">
        <v>227</v>
      </c>
      <c r="E723" s="32">
        <v>18</v>
      </c>
      <c r="F723" s="34" t="s">
        <v>151</v>
      </c>
      <c r="G723" s="35">
        <v>1.5E-3</v>
      </c>
    </row>
    <row r="724" spans="1:7" x14ac:dyDescent="0.2">
      <c r="A724" s="34" t="s">
        <v>75</v>
      </c>
      <c r="B724" s="34" t="s">
        <v>75</v>
      </c>
      <c r="C724" s="34" t="s">
        <v>65</v>
      </c>
      <c r="D724" s="34" t="s">
        <v>228</v>
      </c>
      <c r="E724" s="32">
        <v>18</v>
      </c>
      <c r="F724" s="34" t="s">
        <v>151</v>
      </c>
      <c r="G724" s="35">
        <v>1.5E-3</v>
      </c>
    </row>
    <row r="725" spans="1:7" x14ac:dyDescent="0.2">
      <c r="A725" s="34" t="s">
        <v>75</v>
      </c>
      <c r="B725" s="34" t="s">
        <v>75</v>
      </c>
      <c r="C725" s="34" t="s">
        <v>65</v>
      </c>
      <c r="D725" s="34" t="s">
        <v>229</v>
      </c>
      <c r="E725" s="32">
        <v>18</v>
      </c>
      <c r="F725" s="34" t="s">
        <v>151</v>
      </c>
      <c r="G725" s="35">
        <v>1.5E-3</v>
      </c>
    </row>
    <row r="726" spans="1:7" x14ac:dyDescent="0.2">
      <c r="A726" s="34" t="s">
        <v>75</v>
      </c>
      <c r="B726" s="34" t="s">
        <v>75</v>
      </c>
      <c r="C726" s="34" t="s">
        <v>65</v>
      </c>
      <c r="D726" s="34" t="s">
        <v>234</v>
      </c>
      <c r="E726" s="32">
        <v>18</v>
      </c>
      <c r="F726" s="34" t="s">
        <v>151</v>
      </c>
      <c r="G726" s="35">
        <v>1.5E-3</v>
      </c>
    </row>
    <row r="727" spans="1:7" x14ac:dyDescent="0.2">
      <c r="A727" s="34" t="s">
        <v>75</v>
      </c>
      <c r="B727" s="34" t="s">
        <v>75</v>
      </c>
      <c r="C727" s="34" t="s">
        <v>223</v>
      </c>
      <c r="D727" s="34" t="s">
        <v>230</v>
      </c>
      <c r="E727" s="32">
        <v>18</v>
      </c>
      <c r="F727" s="34" t="s">
        <v>151</v>
      </c>
      <c r="G727" s="35">
        <v>1.5E-3</v>
      </c>
    </row>
    <row r="728" spans="1:7" x14ac:dyDescent="0.2">
      <c r="A728" s="34" t="s">
        <v>75</v>
      </c>
      <c r="B728" s="34" t="s">
        <v>75</v>
      </c>
      <c r="C728" s="34" t="s">
        <v>223</v>
      </c>
      <c r="D728" s="34" t="s">
        <v>231</v>
      </c>
      <c r="E728" s="32">
        <v>18</v>
      </c>
      <c r="F728" s="34" t="s">
        <v>151</v>
      </c>
      <c r="G728" s="35">
        <v>1.5E-3</v>
      </c>
    </row>
    <row r="729" spans="1:7" x14ac:dyDescent="0.2">
      <c r="A729" s="34" t="s">
        <v>75</v>
      </c>
      <c r="B729" s="34" t="s">
        <v>75</v>
      </c>
      <c r="C729" s="34" t="s">
        <v>223</v>
      </c>
      <c r="D729" s="34" t="s">
        <v>235</v>
      </c>
      <c r="E729" s="32">
        <v>18</v>
      </c>
      <c r="F729" s="34" t="s">
        <v>151</v>
      </c>
      <c r="G729" s="35">
        <v>1.5E-3</v>
      </c>
    </row>
    <row r="730" spans="1:7" x14ac:dyDescent="0.2">
      <c r="A730" s="34" t="s">
        <v>75</v>
      </c>
      <c r="B730" s="34" t="s">
        <v>75</v>
      </c>
      <c r="C730" s="34" t="s">
        <v>223</v>
      </c>
      <c r="D730" s="34" t="s">
        <v>232</v>
      </c>
      <c r="E730" s="32">
        <v>18</v>
      </c>
      <c r="F730" s="34" t="s">
        <v>151</v>
      </c>
      <c r="G730" s="35">
        <v>1.5E-3</v>
      </c>
    </row>
    <row r="731" spans="1:7" x14ac:dyDescent="0.2">
      <c r="A731" s="34" t="s">
        <v>75</v>
      </c>
      <c r="B731" s="34" t="s">
        <v>75</v>
      </c>
      <c r="C731" s="34" t="s">
        <v>223</v>
      </c>
      <c r="D731" s="34" t="s">
        <v>236</v>
      </c>
      <c r="E731" s="32">
        <v>18</v>
      </c>
      <c r="F731" s="34" t="s">
        <v>151</v>
      </c>
      <c r="G731" s="35">
        <v>1.5E-3</v>
      </c>
    </row>
    <row r="732" spans="1:7" x14ac:dyDescent="0.2">
      <c r="A732" s="34" t="s">
        <v>75</v>
      </c>
      <c r="B732" s="34" t="s">
        <v>221</v>
      </c>
      <c r="C732" s="34" t="s">
        <v>65</v>
      </c>
      <c r="D732" s="34" t="s">
        <v>222</v>
      </c>
      <c r="E732" s="32">
        <v>18</v>
      </c>
      <c r="F732" s="34" t="s">
        <v>151</v>
      </c>
      <c r="G732" s="35">
        <v>1.5E-3</v>
      </c>
    </row>
    <row r="733" spans="1:7" x14ac:dyDescent="0.2">
      <c r="A733" s="34" t="s">
        <v>75</v>
      </c>
      <c r="B733" s="34" t="s">
        <v>221</v>
      </c>
      <c r="C733" s="34" t="s">
        <v>223</v>
      </c>
      <c r="D733" s="34" t="s">
        <v>224</v>
      </c>
      <c r="E733" s="32">
        <v>18</v>
      </c>
      <c r="F733" s="34" t="s">
        <v>151</v>
      </c>
      <c r="G733" s="35">
        <v>1.5E-3</v>
      </c>
    </row>
    <row r="734" spans="1:7" x14ac:dyDescent="0.2">
      <c r="A734" s="34" t="s">
        <v>52</v>
      </c>
      <c r="B734" s="34" t="s">
        <v>52</v>
      </c>
      <c r="C734" s="34" t="s">
        <v>65</v>
      </c>
      <c r="D734" s="34" t="s">
        <v>237</v>
      </c>
      <c r="E734" s="32">
        <v>18</v>
      </c>
      <c r="F734" s="34" t="s">
        <v>151</v>
      </c>
      <c r="G734" s="35">
        <v>5.0000000000000001E-4</v>
      </c>
    </row>
    <row r="735" spans="1:7" x14ac:dyDescent="0.2">
      <c r="A735" s="34" t="s">
        <v>52</v>
      </c>
      <c r="B735" s="34" t="s">
        <v>52</v>
      </c>
      <c r="C735" s="34" t="s">
        <v>65</v>
      </c>
      <c r="D735" s="34" t="s">
        <v>238</v>
      </c>
      <c r="E735" s="32">
        <v>18</v>
      </c>
      <c r="F735" s="34" t="s">
        <v>151</v>
      </c>
      <c r="G735" s="35">
        <v>5.0000000000000001E-4</v>
      </c>
    </row>
    <row r="736" spans="1:7" x14ac:dyDescent="0.2">
      <c r="A736" s="34" t="s">
        <v>52</v>
      </c>
      <c r="B736" s="34" t="s">
        <v>52</v>
      </c>
      <c r="C736" s="34" t="s">
        <v>65</v>
      </c>
      <c r="D736" s="34" t="s">
        <v>239</v>
      </c>
      <c r="E736" s="32">
        <v>18</v>
      </c>
      <c r="F736" s="34" t="s">
        <v>151</v>
      </c>
      <c r="G736" s="35">
        <v>5.0000000000000001E-4</v>
      </c>
    </row>
    <row r="737" spans="1:7" x14ac:dyDescent="0.2">
      <c r="A737" s="34" t="s">
        <v>52</v>
      </c>
      <c r="B737" s="34" t="s">
        <v>52</v>
      </c>
      <c r="C737" s="34" t="s">
        <v>65</v>
      </c>
      <c r="D737" s="34" t="s">
        <v>240</v>
      </c>
      <c r="E737" s="32">
        <v>18</v>
      </c>
      <c r="F737" s="34" t="s">
        <v>151</v>
      </c>
      <c r="G737" s="35">
        <v>5.0000000000000001E-4</v>
      </c>
    </row>
    <row r="738" spans="1:7" x14ac:dyDescent="0.2">
      <c r="A738" s="34" t="s">
        <v>52</v>
      </c>
      <c r="B738" s="34" t="s">
        <v>52</v>
      </c>
      <c r="C738" s="34" t="s">
        <v>65</v>
      </c>
      <c r="D738" s="34" t="s">
        <v>245</v>
      </c>
      <c r="E738" s="32">
        <v>18</v>
      </c>
      <c r="F738" s="34" t="s">
        <v>151</v>
      </c>
      <c r="G738" s="35">
        <v>5.0000000000000001E-4</v>
      </c>
    </row>
    <row r="739" spans="1:7" x14ac:dyDescent="0.2">
      <c r="A739" s="34" t="s">
        <v>52</v>
      </c>
      <c r="B739" s="34" t="s">
        <v>52</v>
      </c>
      <c r="C739" s="34" t="s">
        <v>223</v>
      </c>
      <c r="D739" s="34" t="s">
        <v>241</v>
      </c>
      <c r="E739" s="32">
        <v>18</v>
      </c>
      <c r="F739" s="34" t="s">
        <v>151</v>
      </c>
      <c r="G739" s="35">
        <v>1.5E-3</v>
      </c>
    </row>
    <row r="740" spans="1:7" x14ac:dyDescent="0.2">
      <c r="A740" s="34" t="s">
        <v>52</v>
      </c>
      <c r="B740" s="34" t="s">
        <v>52</v>
      </c>
      <c r="C740" s="34" t="s">
        <v>223</v>
      </c>
      <c r="D740" s="34" t="s">
        <v>246</v>
      </c>
      <c r="E740" s="32">
        <v>18</v>
      </c>
      <c r="F740" s="34" t="s">
        <v>151</v>
      </c>
      <c r="G740" s="35">
        <v>3.0000000000000001E-3</v>
      </c>
    </row>
    <row r="741" spans="1:7" x14ac:dyDescent="0.2">
      <c r="A741" s="34" t="s">
        <v>52</v>
      </c>
      <c r="B741" s="34" t="s">
        <v>52</v>
      </c>
      <c r="C741" s="34" t="s">
        <v>223</v>
      </c>
      <c r="D741" s="34" t="s">
        <v>242</v>
      </c>
      <c r="E741" s="32">
        <v>18</v>
      </c>
      <c r="F741" s="34" t="s">
        <v>151</v>
      </c>
      <c r="G741" s="35">
        <v>2E-3</v>
      </c>
    </row>
    <row r="742" spans="1:7" x14ac:dyDescent="0.2">
      <c r="A742" s="34" t="s">
        <v>52</v>
      </c>
      <c r="B742" s="34" t="s">
        <v>52</v>
      </c>
      <c r="C742" s="34" t="s">
        <v>223</v>
      </c>
      <c r="D742" s="34" t="s">
        <v>243</v>
      </c>
      <c r="E742" s="32">
        <v>18</v>
      </c>
      <c r="F742" s="34" t="s">
        <v>151</v>
      </c>
      <c r="G742" s="35">
        <v>3.0000000000000001E-3</v>
      </c>
    </row>
    <row r="743" spans="1:7" x14ac:dyDescent="0.2">
      <c r="A743" s="34" t="s">
        <v>52</v>
      </c>
      <c r="B743" s="34" t="s">
        <v>52</v>
      </c>
      <c r="C743" s="34" t="s">
        <v>223</v>
      </c>
      <c r="D743" s="34" t="s">
        <v>244</v>
      </c>
      <c r="E743" s="32">
        <v>18</v>
      </c>
      <c r="F743" s="34" t="s">
        <v>151</v>
      </c>
      <c r="G743" s="35">
        <v>3.0000000000000001E-3</v>
      </c>
    </row>
    <row r="744" spans="1:7" x14ac:dyDescent="0.2">
      <c r="A744" s="34" t="s">
        <v>52</v>
      </c>
      <c r="B744" s="34" t="s">
        <v>221</v>
      </c>
      <c r="C744" s="34" t="s">
        <v>65</v>
      </c>
      <c r="D744" s="34" t="s">
        <v>225</v>
      </c>
      <c r="E744" s="32">
        <v>18</v>
      </c>
      <c r="F744" s="34" t="s">
        <v>151</v>
      </c>
      <c r="G744" s="35">
        <v>5.0000000000000001E-4</v>
      </c>
    </row>
    <row r="745" spans="1:7" x14ac:dyDescent="0.2">
      <c r="A745" s="34" t="s">
        <v>52</v>
      </c>
      <c r="B745" s="34" t="s">
        <v>221</v>
      </c>
      <c r="C745" s="34" t="s">
        <v>223</v>
      </c>
      <c r="D745" s="34" t="s">
        <v>226</v>
      </c>
      <c r="E745" s="32">
        <v>18</v>
      </c>
      <c r="F745" s="34" t="s">
        <v>151</v>
      </c>
      <c r="G745" s="35">
        <v>3.0000000000000001E-3</v>
      </c>
    </row>
    <row r="746" spans="1:7" x14ac:dyDescent="0.2">
      <c r="A746" s="34" t="s">
        <v>75</v>
      </c>
      <c r="B746" s="34" t="s">
        <v>75</v>
      </c>
      <c r="C746" s="34" t="s">
        <v>65</v>
      </c>
      <c r="D746" s="34" t="s">
        <v>233</v>
      </c>
      <c r="E746" s="32">
        <v>21</v>
      </c>
      <c r="F746" s="34" t="s">
        <v>151</v>
      </c>
      <c r="G746" s="35">
        <v>0.24061609749999999</v>
      </c>
    </row>
    <row r="747" spans="1:7" x14ac:dyDescent="0.2">
      <c r="A747" s="34" t="s">
        <v>75</v>
      </c>
      <c r="B747" s="34" t="s">
        <v>75</v>
      </c>
      <c r="C747" s="34" t="s">
        <v>65</v>
      </c>
      <c r="D747" s="34" t="s">
        <v>227</v>
      </c>
      <c r="E747" s="32">
        <v>21</v>
      </c>
      <c r="F747" s="34" t="s">
        <v>151</v>
      </c>
      <c r="G747" s="35">
        <v>0.23277065749999995</v>
      </c>
    </row>
    <row r="748" spans="1:7" x14ac:dyDescent="0.2">
      <c r="A748" s="34" t="s">
        <v>75</v>
      </c>
      <c r="B748" s="34" t="s">
        <v>75</v>
      </c>
      <c r="C748" s="34" t="s">
        <v>65</v>
      </c>
      <c r="D748" s="34" t="s">
        <v>228</v>
      </c>
      <c r="E748" s="32">
        <v>21</v>
      </c>
      <c r="F748" s="34" t="s">
        <v>151</v>
      </c>
      <c r="G748" s="35">
        <v>0.36732353750000002</v>
      </c>
    </row>
    <row r="749" spans="1:7" x14ac:dyDescent="0.2">
      <c r="A749" s="34" t="s">
        <v>75</v>
      </c>
      <c r="B749" s="34" t="s">
        <v>75</v>
      </c>
      <c r="C749" s="34" t="s">
        <v>65</v>
      </c>
      <c r="D749" s="34" t="s">
        <v>229</v>
      </c>
      <c r="E749" s="32">
        <v>21</v>
      </c>
      <c r="F749" s="34" t="s">
        <v>151</v>
      </c>
      <c r="G749" s="35">
        <v>0.3210098575</v>
      </c>
    </row>
    <row r="750" spans="1:7" x14ac:dyDescent="0.2">
      <c r="A750" s="34" t="s">
        <v>75</v>
      </c>
      <c r="B750" s="34" t="s">
        <v>75</v>
      </c>
      <c r="C750" s="34" t="s">
        <v>65</v>
      </c>
      <c r="D750" s="34" t="s">
        <v>234</v>
      </c>
      <c r="E750" s="32">
        <v>21</v>
      </c>
      <c r="F750" s="34" t="s">
        <v>151</v>
      </c>
      <c r="G750" s="35">
        <v>0.35757105750000007</v>
      </c>
    </row>
    <row r="751" spans="1:7" x14ac:dyDescent="0.2">
      <c r="A751" s="34" t="s">
        <v>75</v>
      </c>
      <c r="B751" s="34" t="s">
        <v>75</v>
      </c>
      <c r="C751" s="34" t="s">
        <v>223</v>
      </c>
      <c r="D751" s="34" t="s">
        <v>230</v>
      </c>
      <c r="E751" s="32">
        <v>21</v>
      </c>
      <c r="F751" s="34" t="s">
        <v>151</v>
      </c>
      <c r="G751" s="35">
        <v>3.3661345500000002E-2</v>
      </c>
    </row>
    <row r="752" spans="1:7" x14ac:dyDescent="0.2">
      <c r="A752" s="34" t="s">
        <v>75</v>
      </c>
      <c r="B752" s="34" t="s">
        <v>75</v>
      </c>
      <c r="C752" s="34" t="s">
        <v>223</v>
      </c>
      <c r="D752" s="34" t="s">
        <v>231</v>
      </c>
      <c r="E752" s="32">
        <v>21</v>
      </c>
      <c r="F752" s="34" t="s">
        <v>151</v>
      </c>
      <c r="G752" s="35">
        <v>2.3508157900000007E-2</v>
      </c>
    </row>
    <row r="753" spans="1:7" x14ac:dyDescent="0.2">
      <c r="A753" s="34" t="s">
        <v>75</v>
      </c>
      <c r="B753" s="34" t="s">
        <v>75</v>
      </c>
      <c r="C753" s="34" t="s">
        <v>223</v>
      </c>
      <c r="D753" s="34" t="s">
        <v>235</v>
      </c>
      <c r="E753" s="32">
        <v>21</v>
      </c>
      <c r="F753" s="34" t="s">
        <v>151</v>
      </c>
      <c r="G753" s="35">
        <v>1.1727719900000003E-2</v>
      </c>
    </row>
    <row r="754" spans="1:7" x14ac:dyDescent="0.2">
      <c r="A754" s="34" t="s">
        <v>75</v>
      </c>
      <c r="B754" s="34" t="s">
        <v>75</v>
      </c>
      <c r="C754" s="34" t="s">
        <v>223</v>
      </c>
      <c r="D754" s="34" t="s">
        <v>232</v>
      </c>
      <c r="E754" s="32">
        <v>21</v>
      </c>
      <c r="F754" s="34" t="s">
        <v>151</v>
      </c>
      <c r="G754" s="35">
        <v>6.9552865499999991E-2</v>
      </c>
    </row>
    <row r="755" spans="1:7" x14ac:dyDescent="0.2">
      <c r="A755" s="34" t="s">
        <v>75</v>
      </c>
      <c r="B755" s="34" t="s">
        <v>75</v>
      </c>
      <c r="C755" s="34" t="s">
        <v>223</v>
      </c>
      <c r="D755" s="34" t="s">
        <v>236</v>
      </c>
      <c r="E755" s="32">
        <v>21</v>
      </c>
      <c r="F755" s="34" t="s">
        <v>151</v>
      </c>
      <c r="G755" s="35">
        <v>2.5957381500000005E-2</v>
      </c>
    </row>
    <row r="756" spans="1:7" x14ac:dyDescent="0.2">
      <c r="A756" s="34" t="s">
        <v>75</v>
      </c>
      <c r="B756" s="34" t="s">
        <v>221</v>
      </c>
      <c r="C756" s="34" t="s">
        <v>65</v>
      </c>
      <c r="D756" s="34" t="s">
        <v>222</v>
      </c>
      <c r="E756" s="32">
        <v>21</v>
      </c>
      <c r="F756" s="34" t="s">
        <v>151</v>
      </c>
      <c r="G756" s="35">
        <v>0.87004337749999994</v>
      </c>
    </row>
    <row r="757" spans="1:7" x14ac:dyDescent="0.2">
      <c r="A757" s="34" t="s">
        <v>75</v>
      </c>
      <c r="B757" s="34" t="s">
        <v>221</v>
      </c>
      <c r="C757" s="34" t="s">
        <v>223</v>
      </c>
      <c r="D757" s="34" t="s">
        <v>224</v>
      </c>
      <c r="E757" s="32">
        <v>21</v>
      </c>
      <c r="F757" s="34" t="s">
        <v>151</v>
      </c>
      <c r="G757" s="35">
        <v>7.4579085499999989E-2</v>
      </c>
    </row>
    <row r="758" spans="1:7" x14ac:dyDescent="0.2">
      <c r="A758" s="34" t="s">
        <v>52</v>
      </c>
      <c r="B758" s="34" t="s">
        <v>52</v>
      </c>
      <c r="C758" s="34" t="s">
        <v>65</v>
      </c>
      <c r="D758" s="34" t="s">
        <v>237</v>
      </c>
      <c r="E758" s="32">
        <v>21</v>
      </c>
      <c r="F758" s="34" t="s">
        <v>151</v>
      </c>
      <c r="G758" s="35">
        <v>8.4313499730000005E-2</v>
      </c>
    </row>
    <row r="759" spans="1:7" x14ac:dyDescent="0.2">
      <c r="A759" s="34" t="s">
        <v>52</v>
      </c>
      <c r="B759" s="34" t="s">
        <v>52</v>
      </c>
      <c r="C759" s="34" t="s">
        <v>65</v>
      </c>
      <c r="D759" s="34" t="s">
        <v>238</v>
      </c>
      <c r="E759" s="32">
        <v>21</v>
      </c>
      <c r="F759" s="34" t="s">
        <v>151</v>
      </c>
      <c r="G759" s="35">
        <v>8.9334275730000037E-2</v>
      </c>
    </row>
    <row r="760" spans="1:7" x14ac:dyDescent="0.2">
      <c r="A760" s="34" t="s">
        <v>52</v>
      </c>
      <c r="B760" s="34" t="s">
        <v>52</v>
      </c>
      <c r="C760" s="34" t="s">
        <v>65</v>
      </c>
      <c r="D760" s="34" t="s">
        <v>239</v>
      </c>
      <c r="E760" s="32">
        <v>21</v>
      </c>
      <c r="F760" s="34" t="s">
        <v>151</v>
      </c>
      <c r="G760" s="35">
        <v>0.11008369572999999</v>
      </c>
    </row>
    <row r="761" spans="1:7" x14ac:dyDescent="0.2">
      <c r="A761" s="34" t="s">
        <v>52</v>
      </c>
      <c r="B761" s="34" t="s">
        <v>52</v>
      </c>
      <c r="C761" s="34" t="s">
        <v>65</v>
      </c>
      <c r="D761" s="34" t="s">
        <v>240</v>
      </c>
      <c r="E761" s="32">
        <v>21</v>
      </c>
      <c r="F761" s="34" t="s">
        <v>151</v>
      </c>
      <c r="G761" s="35">
        <v>9.1281519729999969E-2</v>
      </c>
    </row>
    <row r="762" spans="1:7" x14ac:dyDescent="0.2">
      <c r="A762" s="34" t="s">
        <v>52</v>
      </c>
      <c r="B762" s="34" t="s">
        <v>52</v>
      </c>
      <c r="C762" s="34" t="s">
        <v>65</v>
      </c>
      <c r="D762" s="34" t="s">
        <v>245</v>
      </c>
      <c r="E762" s="32">
        <v>21</v>
      </c>
      <c r="F762" s="34" t="s">
        <v>151</v>
      </c>
      <c r="G762" s="35">
        <v>7.3209707729999976E-2</v>
      </c>
    </row>
    <row r="763" spans="1:7" x14ac:dyDescent="0.2">
      <c r="A763" s="34" t="s">
        <v>52</v>
      </c>
      <c r="B763" s="34" t="s">
        <v>52</v>
      </c>
      <c r="C763" s="34" t="s">
        <v>223</v>
      </c>
      <c r="D763" s="34" t="s">
        <v>241</v>
      </c>
      <c r="E763" s="32">
        <v>21</v>
      </c>
      <c r="F763" s="34" t="s">
        <v>151</v>
      </c>
      <c r="G763" s="35">
        <v>3.9127343729999993E-2</v>
      </c>
    </row>
    <row r="764" spans="1:7" x14ac:dyDescent="0.2">
      <c r="A764" s="34" t="s">
        <v>52</v>
      </c>
      <c r="B764" s="34" t="s">
        <v>52</v>
      </c>
      <c r="C764" s="34" t="s">
        <v>223</v>
      </c>
      <c r="D764" s="34" t="s">
        <v>246</v>
      </c>
      <c r="E764" s="32">
        <v>21</v>
      </c>
      <c r="F764" s="34" t="s">
        <v>151</v>
      </c>
      <c r="G764" s="35">
        <v>5.3901059729999999E-2</v>
      </c>
    </row>
    <row r="765" spans="1:7" x14ac:dyDescent="0.2">
      <c r="A765" s="34" t="s">
        <v>52</v>
      </c>
      <c r="B765" s="34" t="s">
        <v>52</v>
      </c>
      <c r="C765" s="34" t="s">
        <v>223</v>
      </c>
      <c r="D765" s="34" t="s">
        <v>242</v>
      </c>
      <c r="E765" s="32">
        <v>21</v>
      </c>
      <c r="F765" s="34" t="s">
        <v>151</v>
      </c>
      <c r="G765" s="35">
        <v>2.4313879730000001E-2</v>
      </c>
    </row>
    <row r="766" spans="1:7" x14ac:dyDescent="0.2">
      <c r="A766" s="34" t="s">
        <v>52</v>
      </c>
      <c r="B766" s="34" t="s">
        <v>52</v>
      </c>
      <c r="C766" s="34" t="s">
        <v>223</v>
      </c>
      <c r="D766" s="34" t="s">
        <v>243</v>
      </c>
      <c r="E766" s="32">
        <v>21</v>
      </c>
      <c r="F766" s="34" t="s">
        <v>151</v>
      </c>
      <c r="G766" s="35">
        <v>5.2968411730000005E-2</v>
      </c>
    </row>
    <row r="767" spans="1:7" x14ac:dyDescent="0.2">
      <c r="A767" s="34" t="s">
        <v>52</v>
      </c>
      <c r="B767" s="34" t="s">
        <v>52</v>
      </c>
      <c r="C767" s="34" t="s">
        <v>223</v>
      </c>
      <c r="D767" s="34" t="s">
        <v>244</v>
      </c>
      <c r="E767" s="32">
        <v>21</v>
      </c>
      <c r="F767" s="34" t="s">
        <v>151</v>
      </c>
      <c r="G767" s="35">
        <v>2.9734411730000011E-2</v>
      </c>
    </row>
    <row r="768" spans="1:7" x14ac:dyDescent="0.2">
      <c r="A768" s="34" t="s">
        <v>52</v>
      </c>
      <c r="B768" s="34" t="s">
        <v>221</v>
      </c>
      <c r="C768" s="34" t="s">
        <v>65</v>
      </c>
      <c r="D768" s="34" t="s">
        <v>225</v>
      </c>
      <c r="E768" s="32">
        <v>21</v>
      </c>
      <c r="F768" s="34" t="s">
        <v>151</v>
      </c>
      <c r="G768" s="35">
        <v>8.4302583730000019E-2</v>
      </c>
    </row>
    <row r="769" spans="1:7" x14ac:dyDescent="0.2">
      <c r="A769" s="34" t="s">
        <v>52</v>
      </c>
      <c r="B769" s="34" t="s">
        <v>221</v>
      </c>
      <c r="C769" s="34" t="s">
        <v>223</v>
      </c>
      <c r="D769" s="34" t="s">
        <v>226</v>
      </c>
      <c r="E769" s="32">
        <v>21</v>
      </c>
      <c r="F769" s="34" t="s">
        <v>151</v>
      </c>
      <c r="G769" s="35">
        <v>3.5252133299999997E-3</v>
      </c>
    </row>
    <row r="770" spans="1:7" x14ac:dyDescent="0.2">
      <c r="A770" s="34" t="s">
        <v>75</v>
      </c>
      <c r="B770" s="34" t="s">
        <v>75</v>
      </c>
      <c r="C770" s="34" t="s">
        <v>65</v>
      </c>
      <c r="D770" s="34" t="s">
        <v>233</v>
      </c>
      <c r="E770" s="32">
        <v>21</v>
      </c>
      <c r="F770" s="34" t="s">
        <v>151</v>
      </c>
      <c r="G770" s="35">
        <v>5.0000000000000001E-4</v>
      </c>
    </row>
    <row r="771" spans="1:7" x14ac:dyDescent="0.2">
      <c r="A771" s="34" t="s">
        <v>75</v>
      </c>
      <c r="B771" s="34" t="s">
        <v>75</v>
      </c>
      <c r="C771" s="34" t="s">
        <v>65</v>
      </c>
      <c r="D771" s="34" t="s">
        <v>227</v>
      </c>
      <c r="E771" s="32">
        <v>21</v>
      </c>
      <c r="F771" s="34" t="s">
        <v>151</v>
      </c>
      <c r="G771" s="35">
        <v>5.0000000000000001E-4</v>
      </c>
    </row>
    <row r="772" spans="1:7" x14ac:dyDescent="0.2">
      <c r="A772" s="34" t="s">
        <v>75</v>
      </c>
      <c r="B772" s="34" t="s">
        <v>75</v>
      </c>
      <c r="C772" s="34" t="s">
        <v>65</v>
      </c>
      <c r="D772" s="34" t="s">
        <v>228</v>
      </c>
      <c r="E772" s="32">
        <v>21</v>
      </c>
      <c r="F772" s="34" t="s">
        <v>151</v>
      </c>
      <c r="G772" s="35">
        <v>5.0000000000000001E-4</v>
      </c>
    </row>
    <row r="773" spans="1:7" x14ac:dyDescent="0.2">
      <c r="A773" s="34" t="s">
        <v>75</v>
      </c>
      <c r="B773" s="34" t="s">
        <v>75</v>
      </c>
      <c r="C773" s="34" t="s">
        <v>65</v>
      </c>
      <c r="D773" s="34" t="s">
        <v>229</v>
      </c>
      <c r="E773" s="32">
        <v>21</v>
      </c>
      <c r="F773" s="34" t="s">
        <v>151</v>
      </c>
      <c r="G773" s="35">
        <v>5.0000000000000001E-4</v>
      </c>
    </row>
    <row r="774" spans="1:7" x14ac:dyDescent="0.2">
      <c r="A774" s="34" t="s">
        <v>75</v>
      </c>
      <c r="B774" s="34" t="s">
        <v>75</v>
      </c>
      <c r="C774" s="34" t="s">
        <v>65</v>
      </c>
      <c r="D774" s="34" t="s">
        <v>234</v>
      </c>
      <c r="E774" s="32">
        <v>21</v>
      </c>
      <c r="F774" s="34" t="s">
        <v>151</v>
      </c>
      <c r="G774" s="35">
        <v>5.0000000000000001E-4</v>
      </c>
    </row>
    <row r="775" spans="1:7" x14ac:dyDescent="0.2">
      <c r="A775" s="34" t="s">
        <v>75</v>
      </c>
      <c r="B775" s="34" t="s">
        <v>75</v>
      </c>
      <c r="C775" s="34" t="s">
        <v>223</v>
      </c>
      <c r="D775" s="34" t="s">
        <v>230</v>
      </c>
      <c r="E775" s="32">
        <v>21</v>
      </c>
      <c r="F775" s="34" t="s">
        <v>151</v>
      </c>
      <c r="G775" s="35">
        <v>3.0000000000000001E-3</v>
      </c>
    </row>
    <row r="776" spans="1:7" x14ac:dyDescent="0.2">
      <c r="A776" s="34" t="s">
        <v>75</v>
      </c>
      <c r="B776" s="34" t="s">
        <v>75</v>
      </c>
      <c r="C776" s="34" t="s">
        <v>223</v>
      </c>
      <c r="D776" s="34" t="s">
        <v>231</v>
      </c>
      <c r="E776" s="32">
        <v>21</v>
      </c>
      <c r="F776" s="34" t="s">
        <v>151</v>
      </c>
      <c r="G776" s="35">
        <v>3.0000000000000001E-3</v>
      </c>
    </row>
    <row r="777" spans="1:7" x14ac:dyDescent="0.2">
      <c r="A777" s="34" t="s">
        <v>75</v>
      </c>
      <c r="B777" s="34" t="s">
        <v>75</v>
      </c>
      <c r="C777" s="34" t="s">
        <v>223</v>
      </c>
      <c r="D777" s="34" t="s">
        <v>235</v>
      </c>
      <c r="E777" s="32">
        <v>21</v>
      </c>
      <c r="F777" s="34" t="s">
        <v>151</v>
      </c>
      <c r="G777" s="35">
        <v>3.0000000000000001E-3</v>
      </c>
    </row>
    <row r="778" spans="1:7" x14ac:dyDescent="0.2">
      <c r="A778" s="34" t="s">
        <v>75</v>
      </c>
      <c r="B778" s="34" t="s">
        <v>75</v>
      </c>
      <c r="C778" s="34" t="s">
        <v>223</v>
      </c>
      <c r="D778" s="34" t="s">
        <v>232</v>
      </c>
      <c r="E778" s="32">
        <v>21</v>
      </c>
      <c r="F778" s="34" t="s">
        <v>151</v>
      </c>
      <c r="G778" s="35">
        <v>3.0000000000000001E-3</v>
      </c>
    </row>
    <row r="779" spans="1:7" x14ac:dyDescent="0.2">
      <c r="A779" s="34" t="s">
        <v>75</v>
      </c>
      <c r="B779" s="34" t="s">
        <v>75</v>
      </c>
      <c r="C779" s="34" t="s">
        <v>223</v>
      </c>
      <c r="D779" s="34" t="s">
        <v>236</v>
      </c>
      <c r="E779" s="32">
        <v>21</v>
      </c>
      <c r="F779" s="34" t="s">
        <v>151</v>
      </c>
      <c r="G779" s="35">
        <v>3.0000000000000001E-3</v>
      </c>
    </row>
    <row r="780" spans="1:7" x14ac:dyDescent="0.2">
      <c r="A780" s="34" t="s">
        <v>75</v>
      </c>
      <c r="B780" s="34" t="s">
        <v>221</v>
      </c>
      <c r="C780" s="34" t="s">
        <v>65</v>
      </c>
      <c r="D780" s="34" t="s">
        <v>222</v>
      </c>
      <c r="E780" s="32">
        <v>21</v>
      </c>
      <c r="F780" s="34" t="s">
        <v>151</v>
      </c>
      <c r="G780" s="35">
        <v>5.0000000000000001E-4</v>
      </c>
    </row>
    <row r="781" spans="1:7" x14ac:dyDescent="0.2">
      <c r="A781" s="34" t="s">
        <v>75</v>
      </c>
      <c r="B781" s="34" t="s">
        <v>221</v>
      </c>
      <c r="C781" s="34" t="s">
        <v>223</v>
      </c>
      <c r="D781" s="34" t="s">
        <v>224</v>
      </c>
      <c r="E781" s="32">
        <v>21</v>
      </c>
      <c r="F781" s="34" t="s">
        <v>151</v>
      </c>
      <c r="G781" s="35">
        <v>3.0000000000000001E-3</v>
      </c>
    </row>
    <row r="782" spans="1:7" x14ac:dyDescent="0.2">
      <c r="A782" s="34" t="s">
        <v>52</v>
      </c>
      <c r="B782" s="34" t="s">
        <v>52</v>
      </c>
      <c r="C782" s="34" t="s">
        <v>65</v>
      </c>
      <c r="D782" s="34" t="s">
        <v>237</v>
      </c>
      <c r="E782" s="32">
        <v>21</v>
      </c>
      <c r="F782" s="34" t="s">
        <v>151</v>
      </c>
      <c r="G782" s="35">
        <v>5.0000000000000001E-4</v>
      </c>
    </row>
    <row r="783" spans="1:7" x14ac:dyDescent="0.2">
      <c r="A783" s="34" t="s">
        <v>52</v>
      </c>
      <c r="B783" s="34" t="s">
        <v>52</v>
      </c>
      <c r="C783" s="34" t="s">
        <v>65</v>
      </c>
      <c r="D783" s="34" t="s">
        <v>238</v>
      </c>
      <c r="E783" s="32">
        <v>21</v>
      </c>
      <c r="F783" s="34" t="s">
        <v>151</v>
      </c>
      <c r="G783" s="35">
        <v>5.0000000000000001E-4</v>
      </c>
    </row>
    <row r="784" spans="1:7" x14ac:dyDescent="0.2">
      <c r="A784" s="34" t="s">
        <v>52</v>
      </c>
      <c r="B784" s="34" t="s">
        <v>52</v>
      </c>
      <c r="C784" s="34" t="s">
        <v>65</v>
      </c>
      <c r="D784" s="34" t="s">
        <v>239</v>
      </c>
      <c r="E784" s="32">
        <v>21</v>
      </c>
      <c r="F784" s="34" t="s">
        <v>151</v>
      </c>
      <c r="G784" s="35">
        <v>5.0000000000000001E-4</v>
      </c>
    </row>
    <row r="785" spans="1:7" x14ac:dyDescent="0.2">
      <c r="A785" s="34" t="s">
        <v>52</v>
      </c>
      <c r="B785" s="34" t="s">
        <v>52</v>
      </c>
      <c r="C785" s="34" t="s">
        <v>65</v>
      </c>
      <c r="D785" s="34" t="s">
        <v>240</v>
      </c>
      <c r="E785" s="32">
        <v>21</v>
      </c>
      <c r="F785" s="34" t="s">
        <v>151</v>
      </c>
      <c r="G785" s="35">
        <v>5.0000000000000001E-4</v>
      </c>
    </row>
    <row r="786" spans="1:7" x14ac:dyDescent="0.2">
      <c r="A786" s="34" t="s">
        <v>52</v>
      </c>
      <c r="B786" s="34" t="s">
        <v>52</v>
      </c>
      <c r="C786" s="34" t="s">
        <v>65</v>
      </c>
      <c r="D786" s="34" t="s">
        <v>245</v>
      </c>
      <c r="E786" s="32">
        <v>21</v>
      </c>
      <c r="F786" s="34" t="s">
        <v>151</v>
      </c>
      <c r="G786" s="35">
        <v>5.0000000000000001E-4</v>
      </c>
    </row>
    <row r="787" spans="1:7" x14ac:dyDescent="0.2">
      <c r="A787" s="34" t="s">
        <v>52</v>
      </c>
      <c r="B787" s="34" t="s">
        <v>52</v>
      </c>
      <c r="C787" s="34" t="s">
        <v>223</v>
      </c>
      <c r="D787" s="34" t="s">
        <v>241</v>
      </c>
      <c r="E787" s="32">
        <v>21</v>
      </c>
      <c r="F787" s="34" t="s">
        <v>151</v>
      </c>
      <c r="G787" s="35">
        <v>3.0000000000000001E-3</v>
      </c>
    </row>
    <row r="788" spans="1:7" x14ac:dyDescent="0.2">
      <c r="A788" s="34" t="s">
        <v>52</v>
      </c>
      <c r="B788" s="34" t="s">
        <v>52</v>
      </c>
      <c r="C788" s="34" t="s">
        <v>223</v>
      </c>
      <c r="D788" s="34" t="s">
        <v>246</v>
      </c>
      <c r="E788" s="32">
        <v>21</v>
      </c>
      <c r="F788" s="34" t="s">
        <v>151</v>
      </c>
      <c r="G788" s="35">
        <v>3.0000000000000001E-3</v>
      </c>
    </row>
    <row r="789" spans="1:7" x14ac:dyDescent="0.2">
      <c r="A789" s="34" t="s">
        <v>52</v>
      </c>
      <c r="B789" s="34" t="s">
        <v>52</v>
      </c>
      <c r="C789" s="34" t="s">
        <v>223</v>
      </c>
      <c r="D789" s="34" t="s">
        <v>242</v>
      </c>
      <c r="E789" s="32">
        <v>21</v>
      </c>
      <c r="F789" s="34" t="s">
        <v>151</v>
      </c>
      <c r="G789" s="35">
        <v>3.0000000000000001E-3</v>
      </c>
    </row>
    <row r="790" spans="1:7" x14ac:dyDescent="0.2">
      <c r="A790" s="34" t="s">
        <v>52</v>
      </c>
      <c r="B790" s="34" t="s">
        <v>52</v>
      </c>
      <c r="C790" s="34" t="s">
        <v>223</v>
      </c>
      <c r="D790" s="34" t="s">
        <v>243</v>
      </c>
      <c r="E790" s="32">
        <v>21</v>
      </c>
      <c r="F790" s="34" t="s">
        <v>151</v>
      </c>
      <c r="G790" s="35">
        <v>3.0000000000000001E-3</v>
      </c>
    </row>
    <row r="791" spans="1:7" x14ac:dyDescent="0.2">
      <c r="A791" s="34" t="s">
        <v>52</v>
      </c>
      <c r="B791" s="34" t="s">
        <v>52</v>
      </c>
      <c r="C791" s="34" t="s">
        <v>223</v>
      </c>
      <c r="D791" s="34" t="s">
        <v>244</v>
      </c>
      <c r="E791" s="32">
        <v>21</v>
      </c>
      <c r="F791" s="34" t="s">
        <v>151</v>
      </c>
      <c r="G791" s="35">
        <v>3.0000000000000001E-3</v>
      </c>
    </row>
    <row r="792" spans="1:7" x14ac:dyDescent="0.2">
      <c r="A792" s="34" t="s">
        <v>52</v>
      </c>
      <c r="B792" s="34" t="s">
        <v>221</v>
      </c>
      <c r="C792" s="34" t="s">
        <v>65</v>
      </c>
      <c r="D792" s="34" t="s">
        <v>225</v>
      </c>
      <c r="E792" s="32">
        <v>21</v>
      </c>
      <c r="F792" s="34" t="s">
        <v>151</v>
      </c>
      <c r="G792" s="35">
        <v>5.0000000000000001E-4</v>
      </c>
    </row>
    <row r="793" spans="1:7" x14ac:dyDescent="0.2">
      <c r="A793" s="34" t="s">
        <v>52</v>
      </c>
      <c r="B793" s="34" t="s">
        <v>221</v>
      </c>
      <c r="C793" s="34" t="s">
        <v>223</v>
      </c>
      <c r="D793" s="34" t="s">
        <v>226</v>
      </c>
      <c r="E793" s="32">
        <v>21</v>
      </c>
      <c r="F793" s="34" t="s">
        <v>151</v>
      </c>
      <c r="G793" s="35">
        <v>1.5E-3</v>
      </c>
    </row>
    <row r="794" spans="1:7" x14ac:dyDescent="0.2">
      <c r="A794" s="34" t="s">
        <v>75</v>
      </c>
      <c r="B794" s="34" t="s">
        <v>75</v>
      </c>
      <c r="C794" s="34" t="s">
        <v>65</v>
      </c>
      <c r="D794" s="34" t="s">
        <v>233</v>
      </c>
      <c r="E794" s="32">
        <v>24</v>
      </c>
      <c r="F794" s="34" t="s">
        <v>151</v>
      </c>
      <c r="G794" s="35">
        <v>0.12069068051160001</v>
      </c>
    </row>
    <row r="795" spans="1:7" x14ac:dyDescent="0.2">
      <c r="A795" s="34" t="s">
        <v>75</v>
      </c>
      <c r="B795" s="34" t="s">
        <v>75</v>
      </c>
      <c r="C795" s="34" t="s">
        <v>65</v>
      </c>
      <c r="D795" s="34" t="s">
        <v>227</v>
      </c>
      <c r="E795" s="32">
        <v>24</v>
      </c>
      <c r="F795" s="34" t="s">
        <v>151</v>
      </c>
      <c r="G795" s="35">
        <v>0.14368657651160002</v>
      </c>
    </row>
    <row r="796" spans="1:7" x14ac:dyDescent="0.2">
      <c r="A796" s="34" t="s">
        <v>75</v>
      </c>
      <c r="B796" s="34" t="s">
        <v>75</v>
      </c>
      <c r="C796" s="34" t="s">
        <v>65</v>
      </c>
      <c r="D796" s="34" t="s">
        <v>228</v>
      </c>
      <c r="E796" s="32">
        <v>24</v>
      </c>
      <c r="F796" s="34" t="s">
        <v>151</v>
      </c>
      <c r="G796" s="35">
        <v>0.23682301651159998</v>
      </c>
    </row>
    <row r="797" spans="1:7" x14ac:dyDescent="0.2">
      <c r="A797" s="34" t="s">
        <v>75</v>
      </c>
      <c r="B797" s="34" t="s">
        <v>75</v>
      </c>
      <c r="C797" s="34" t="s">
        <v>65</v>
      </c>
      <c r="D797" s="34" t="s">
        <v>229</v>
      </c>
      <c r="E797" s="32">
        <v>24</v>
      </c>
      <c r="F797" s="34" t="s">
        <v>151</v>
      </c>
      <c r="G797" s="35">
        <v>0.15179656851160003</v>
      </c>
    </row>
    <row r="798" spans="1:7" x14ac:dyDescent="0.2">
      <c r="A798" s="34" t="s">
        <v>75</v>
      </c>
      <c r="B798" s="34" t="s">
        <v>75</v>
      </c>
      <c r="C798" s="34" t="s">
        <v>65</v>
      </c>
      <c r="D798" s="34" t="s">
        <v>234</v>
      </c>
      <c r="E798" s="32">
        <v>24</v>
      </c>
      <c r="F798" s="34" t="s">
        <v>151</v>
      </c>
      <c r="G798" s="35">
        <v>0.18350485651160009</v>
      </c>
    </row>
    <row r="799" spans="1:7" x14ac:dyDescent="0.2">
      <c r="A799" s="34" t="s">
        <v>75</v>
      </c>
      <c r="B799" s="34" t="s">
        <v>75</v>
      </c>
      <c r="C799" s="34" t="s">
        <v>223</v>
      </c>
      <c r="D799" s="34" t="s">
        <v>230</v>
      </c>
      <c r="E799" s="32">
        <v>24</v>
      </c>
      <c r="F799" s="34" t="s">
        <v>151</v>
      </c>
      <c r="G799" s="35">
        <v>0.16116683651159999</v>
      </c>
    </row>
    <row r="800" spans="1:7" x14ac:dyDescent="0.2">
      <c r="A800" s="34" t="s">
        <v>75</v>
      </c>
      <c r="B800" s="34" t="s">
        <v>75</v>
      </c>
      <c r="C800" s="34" t="s">
        <v>223</v>
      </c>
      <c r="D800" s="34" t="s">
        <v>231</v>
      </c>
      <c r="E800" s="32">
        <v>24</v>
      </c>
      <c r="F800" s="34" t="s">
        <v>151</v>
      </c>
      <c r="G800" s="35">
        <v>0.13518268851160001</v>
      </c>
    </row>
    <row r="801" spans="1:7" x14ac:dyDescent="0.2">
      <c r="A801" s="34" t="s">
        <v>75</v>
      </c>
      <c r="B801" s="34" t="s">
        <v>75</v>
      </c>
      <c r="C801" s="34" t="s">
        <v>223</v>
      </c>
      <c r="D801" s="34" t="s">
        <v>235</v>
      </c>
      <c r="E801" s="32">
        <v>24</v>
      </c>
      <c r="F801" s="34" t="s">
        <v>151</v>
      </c>
      <c r="G801" s="35">
        <v>0.12048563251159999</v>
      </c>
    </row>
    <row r="802" spans="1:7" x14ac:dyDescent="0.2">
      <c r="A802" s="34" t="s">
        <v>75</v>
      </c>
      <c r="B802" s="34" t="s">
        <v>75</v>
      </c>
      <c r="C802" s="34" t="s">
        <v>223</v>
      </c>
      <c r="D802" s="34" t="s">
        <v>232</v>
      </c>
      <c r="E802" s="32">
        <v>24</v>
      </c>
      <c r="F802" s="34" t="s">
        <v>151</v>
      </c>
      <c r="G802" s="35">
        <v>0.34032581651159999</v>
      </c>
    </row>
    <row r="803" spans="1:7" x14ac:dyDescent="0.2">
      <c r="A803" s="34" t="s">
        <v>75</v>
      </c>
      <c r="B803" s="34" t="s">
        <v>75</v>
      </c>
      <c r="C803" s="34" t="s">
        <v>223</v>
      </c>
      <c r="D803" s="34" t="s">
        <v>236</v>
      </c>
      <c r="E803" s="32">
        <v>24</v>
      </c>
      <c r="F803" s="34" t="s">
        <v>151</v>
      </c>
      <c r="G803" s="35">
        <v>0.21669065651160002</v>
      </c>
    </row>
    <row r="804" spans="1:7" x14ac:dyDescent="0.2">
      <c r="A804" s="34" t="s">
        <v>75</v>
      </c>
      <c r="B804" s="34" t="s">
        <v>221</v>
      </c>
      <c r="C804" s="34" t="s">
        <v>65</v>
      </c>
      <c r="D804" s="34" t="s">
        <v>222</v>
      </c>
      <c r="E804" s="32">
        <v>24</v>
      </c>
      <c r="F804" s="34" t="s">
        <v>151</v>
      </c>
      <c r="G804" s="35">
        <v>0.1063514725116</v>
      </c>
    </row>
    <row r="805" spans="1:7" x14ac:dyDescent="0.2">
      <c r="A805" s="34" t="s">
        <v>75</v>
      </c>
      <c r="B805" s="34" t="s">
        <v>221</v>
      </c>
      <c r="C805" s="34" t="s">
        <v>223</v>
      </c>
      <c r="D805" s="34" t="s">
        <v>224</v>
      </c>
      <c r="E805" s="32">
        <v>24</v>
      </c>
      <c r="F805" s="34" t="s">
        <v>151</v>
      </c>
      <c r="G805" s="35">
        <v>0.20578361651160004</v>
      </c>
    </row>
    <row r="806" spans="1:7" x14ac:dyDescent="0.2">
      <c r="A806" s="34" t="s">
        <v>52</v>
      </c>
      <c r="B806" s="34" t="s">
        <v>52</v>
      </c>
      <c r="C806" s="34" t="s">
        <v>65</v>
      </c>
      <c r="D806" s="34" t="s">
        <v>237</v>
      </c>
      <c r="E806" s="32">
        <v>24</v>
      </c>
      <c r="F806" s="34" t="s">
        <v>151</v>
      </c>
      <c r="G806" s="35">
        <v>9.0883490689999999E-2</v>
      </c>
    </row>
    <row r="807" spans="1:7" x14ac:dyDescent="0.2">
      <c r="A807" s="34" t="s">
        <v>52</v>
      </c>
      <c r="B807" s="34" t="s">
        <v>52</v>
      </c>
      <c r="C807" s="34" t="s">
        <v>65</v>
      </c>
      <c r="D807" s="34" t="s">
        <v>238</v>
      </c>
      <c r="E807" s="32">
        <v>24</v>
      </c>
      <c r="F807" s="34" t="s">
        <v>151</v>
      </c>
      <c r="G807" s="35">
        <v>9.6234278690000008E-2</v>
      </c>
    </row>
    <row r="808" spans="1:7" x14ac:dyDescent="0.2">
      <c r="A808" s="34" t="s">
        <v>52</v>
      </c>
      <c r="B808" s="34" t="s">
        <v>52</v>
      </c>
      <c r="C808" s="34" t="s">
        <v>65</v>
      </c>
      <c r="D808" s="34" t="s">
        <v>239</v>
      </c>
      <c r="E808" s="32">
        <v>24</v>
      </c>
      <c r="F808" s="34" t="s">
        <v>151</v>
      </c>
      <c r="G808" s="35">
        <v>9.393147869E-2</v>
      </c>
    </row>
    <row r="809" spans="1:7" x14ac:dyDescent="0.2">
      <c r="A809" s="34" t="s">
        <v>52</v>
      </c>
      <c r="B809" s="34" t="s">
        <v>52</v>
      </c>
      <c r="C809" s="34" t="s">
        <v>65</v>
      </c>
      <c r="D809" s="34" t="s">
        <v>240</v>
      </c>
      <c r="E809" s="32">
        <v>24</v>
      </c>
      <c r="F809" s="34" t="s">
        <v>151</v>
      </c>
      <c r="G809" s="35">
        <v>0.10982861069000001</v>
      </c>
    </row>
    <row r="810" spans="1:7" x14ac:dyDescent="0.2">
      <c r="A810" s="34" t="s">
        <v>52</v>
      </c>
      <c r="B810" s="34" t="s">
        <v>52</v>
      </c>
      <c r="C810" s="34" t="s">
        <v>65</v>
      </c>
      <c r="D810" s="34" t="s">
        <v>245</v>
      </c>
      <c r="E810" s="32">
        <v>24</v>
      </c>
      <c r="F810" s="34" t="s">
        <v>151</v>
      </c>
      <c r="G810" s="35">
        <v>0.13087227068999999</v>
      </c>
    </row>
    <row r="811" spans="1:7" x14ac:dyDescent="0.2">
      <c r="A811" s="34" t="s">
        <v>52</v>
      </c>
      <c r="B811" s="34" t="s">
        <v>52</v>
      </c>
      <c r="C811" s="34" t="s">
        <v>223</v>
      </c>
      <c r="D811" s="34" t="s">
        <v>241</v>
      </c>
      <c r="E811" s="32">
        <v>24</v>
      </c>
      <c r="F811" s="34" t="s">
        <v>151</v>
      </c>
      <c r="G811" s="35">
        <v>3.995614669E-2</v>
      </c>
    </row>
    <row r="812" spans="1:7" x14ac:dyDescent="0.2">
      <c r="A812" s="34" t="s">
        <v>52</v>
      </c>
      <c r="B812" s="34" t="s">
        <v>52</v>
      </c>
      <c r="C812" s="34" t="s">
        <v>223</v>
      </c>
      <c r="D812" s="34" t="s">
        <v>246</v>
      </c>
      <c r="E812" s="32">
        <v>24</v>
      </c>
      <c r="F812" s="34" t="s">
        <v>151</v>
      </c>
      <c r="G812" s="35">
        <v>1.6869450689999999E-2</v>
      </c>
    </row>
    <row r="813" spans="1:7" x14ac:dyDescent="0.2">
      <c r="A813" s="34" t="s">
        <v>52</v>
      </c>
      <c r="B813" s="34" t="s">
        <v>52</v>
      </c>
      <c r="C813" s="34" t="s">
        <v>223</v>
      </c>
      <c r="D813" s="34" t="s">
        <v>242</v>
      </c>
      <c r="E813" s="32">
        <v>24</v>
      </c>
      <c r="F813" s="34" t="s">
        <v>151</v>
      </c>
      <c r="G813" s="35">
        <v>6.512108669000001E-2</v>
      </c>
    </row>
    <row r="814" spans="1:7" x14ac:dyDescent="0.2">
      <c r="A814" s="34" t="s">
        <v>52</v>
      </c>
      <c r="B814" s="34" t="s">
        <v>52</v>
      </c>
      <c r="C814" s="34" t="s">
        <v>223</v>
      </c>
      <c r="D814" s="34" t="s">
        <v>243</v>
      </c>
      <c r="E814" s="32">
        <v>24</v>
      </c>
      <c r="F814" s="34" t="s">
        <v>151</v>
      </c>
      <c r="G814" s="35">
        <v>7.7932502690000016E-2</v>
      </c>
    </row>
    <row r="815" spans="1:7" x14ac:dyDescent="0.2">
      <c r="A815" s="34" t="s">
        <v>52</v>
      </c>
      <c r="B815" s="34" t="s">
        <v>52</v>
      </c>
      <c r="C815" s="34" t="s">
        <v>223</v>
      </c>
      <c r="D815" s="34" t="s">
        <v>244</v>
      </c>
      <c r="E815" s="32">
        <v>24</v>
      </c>
      <c r="F815" s="34" t="s">
        <v>151</v>
      </c>
      <c r="G815" s="35">
        <v>5.3647174690000007E-2</v>
      </c>
    </row>
    <row r="816" spans="1:7" x14ac:dyDescent="0.2">
      <c r="A816" s="34" t="s">
        <v>52</v>
      </c>
      <c r="B816" s="34" t="s">
        <v>221</v>
      </c>
      <c r="C816" s="34" t="s">
        <v>65</v>
      </c>
      <c r="D816" s="34" t="s">
        <v>225</v>
      </c>
      <c r="E816" s="32">
        <v>24</v>
      </c>
      <c r="F816" s="34" t="s">
        <v>151</v>
      </c>
      <c r="G816" s="35">
        <v>6.3228766690000021E-2</v>
      </c>
    </row>
    <row r="817" spans="1:7" x14ac:dyDescent="0.2">
      <c r="A817" s="34" t="s">
        <v>52</v>
      </c>
      <c r="B817" s="34" t="s">
        <v>221</v>
      </c>
      <c r="C817" s="34" t="s">
        <v>223</v>
      </c>
      <c r="D817" s="34" t="s">
        <v>226</v>
      </c>
      <c r="E817" s="32">
        <v>24</v>
      </c>
      <c r="F817" s="34" t="s">
        <v>151</v>
      </c>
      <c r="G817" s="35">
        <v>1.1832746900000005E-3</v>
      </c>
    </row>
    <row r="818" spans="1:7" x14ac:dyDescent="0.2">
      <c r="A818" s="34" t="s">
        <v>75</v>
      </c>
      <c r="B818" s="34" t="s">
        <v>75</v>
      </c>
      <c r="C818" s="34" t="s">
        <v>65</v>
      </c>
      <c r="D818" s="34" t="s">
        <v>233</v>
      </c>
      <c r="E818" s="32">
        <v>24</v>
      </c>
      <c r="F818" s="34" t="s">
        <v>151</v>
      </c>
      <c r="G818" s="35">
        <v>5.0000000000000001E-4</v>
      </c>
    </row>
    <row r="819" spans="1:7" x14ac:dyDescent="0.2">
      <c r="A819" s="34" t="s">
        <v>75</v>
      </c>
      <c r="B819" s="34" t="s">
        <v>75</v>
      </c>
      <c r="C819" s="34" t="s">
        <v>65</v>
      </c>
      <c r="D819" s="34" t="s">
        <v>227</v>
      </c>
      <c r="E819" s="32">
        <v>24</v>
      </c>
      <c r="F819" s="34" t="s">
        <v>151</v>
      </c>
      <c r="G819" s="35">
        <v>5.0000000000000001E-4</v>
      </c>
    </row>
    <row r="820" spans="1:7" x14ac:dyDescent="0.2">
      <c r="A820" s="34" t="s">
        <v>75</v>
      </c>
      <c r="B820" s="34" t="s">
        <v>75</v>
      </c>
      <c r="C820" s="34" t="s">
        <v>65</v>
      </c>
      <c r="D820" s="34" t="s">
        <v>228</v>
      </c>
      <c r="E820" s="32">
        <v>24</v>
      </c>
      <c r="F820" s="34" t="s">
        <v>151</v>
      </c>
      <c r="G820" s="35">
        <v>5.0000000000000001E-4</v>
      </c>
    </row>
    <row r="821" spans="1:7" x14ac:dyDescent="0.2">
      <c r="A821" s="34" t="s">
        <v>75</v>
      </c>
      <c r="B821" s="34" t="s">
        <v>75</v>
      </c>
      <c r="C821" s="34" t="s">
        <v>65</v>
      </c>
      <c r="D821" s="34" t="s">
        <v>229</v>
      </c>
      <c r="E821" s="32">
        <v>24</v>
      </c>
      <c r="F821" s="34" t="s">
        <v>151</v>
      </c>
      <c r="G821" s="35">
        <v>5.0000000000000001E-4</v>
      </c>
    </row>
    <row r="822" spans="1:7" x14ac:dyDescent="0.2">
      <c r="A822" s="34" t="s">
        <v>75</v>
      </c>
      <c r="B822" s="34" t="s">
        <v>75</v>
      </c>
      <c r="C822" s="34" t="s">
        <v>65</v>
      </c>
      <c r="D822" s="34" t="s">
        <v>234</v>
      </c>
      <c r="E822" s="32">
        <v>24</v>
      </c>
      <c r="F822" s="34" t="s">
        <v>151</v>
      </c>
      <c r="G822" s="35">
        <v>5.0000000000000001E-4</v>
      </c>
    </row>
    <row r="823" spans="1:7" x14ac:dyDescent="0.2">
      <c r="A823" s="34" t="s">
        <v>75</v>
      </c>
      <c r="B823" s="34" t="s">
        <v>75</v>
      </c>
      <c r="C823" s="34" t="s">
        <v>223</v>
      </c>
      <c r="D823" s="34" t="s">
        <v>230</v>
      </c>
      <c r="E823" s="32">
        <v>24</v>
      </c>
      <c r="F823" s="34" t="s">
        <v>151</v>
      </c>
      <c r="G823" s="35">
        <v>3.0000000000000001E-3</v>
      </c>
    </row>
    <row r="824" spans="1:7" x14ac:dyDescent="0.2">
      <c r="A824" s="34" t="s">
        <v>75</v>
      </c>
      <c r="B824" s="34" t="s">
        <v>75</v>
      </c>
      <c r="C824" s="34" t="s">
        <v>223</v>
      </c>
      <c r="D824" s="34" t="s">
        <v>231</v>
      </c>
      <c r="E824" s="32">
        <v>24</v>
      </c>
      <c r="F824" s="34" t="s">
        <v>151</v>
      </c>
      <c r="G824" s="35">
        <v>3.0000000000000001E-3</v>
      </c>
    </row>
    <row r="825" spans="1:7" x14ac:dyDescent="0.2">
      <c r="A825" s="34" t="s">
        <v>75</v>
      </c>
      <c r="B825" s="34" t="s">
        <v>75</v>
      </c>
      <c r="C825" s="34" t="s">
        <v>223</v>
      </c>
      <c r="D825" s="34" t="s">
        <v>235</v>
      </c>
      <c r="E825" s="32">
        <v>24</v>
      </c>
      <c r="F825" s="34" t="s">
        <v>151</v>
      </c>
      <c r="G825" s="35">
        <v>3.0000000000000001E-3</v>
      </c>
    </row>
    <row r="826" spans="1:7" x14ac:dyDescent="0.2">
      <c r="A826" s="34" t="s">
        <v>75</v>
      </c>
      <c r="B826" s="34" t="s">
        <v>75</v>
      </c>
      <c r="C826" s="34" t="s">
        <v>223</v>
      </c>
      <c r="D826" s="34" t="s">
        <v>232</v>
      </c>
      <c r="E826" s="32">
        <v>24</v>
      </c>
      <c r="F826" s="34" t="s">
        <v>151</v>
      </c>
      <c r="G826" s="35">
        <v>3.0000000000000001E-3</v>
      </c>
    </row>
    <row r="827" spans="1:7" x14ac:dyDescent="0.2">
      <c r="A827" s="34" t="s">
        <v>75</v>
      </c>
      <c r="B827" s="34" t="s">
        <v>75</v>
      </c>
      <c r="C827" s="34" t="s">
        <v>223</v>
      </c>
      <c r="D827" s="34" t="s">
        <v>236</v>
      </c>
      <c r="E827" s="32">
        <v>24</v>
      </c>
      <c r="F827" s="34" t="s">
        <v>151</v>
      </c>
      <c r="G827" s="35">
        <v>3.0000000000000001E-3</v>
      </c>
    </row>
    <row r="828" spans="1:7" x14ac:dyDescent="0.2">
      <c r="A828" s="34" t="s">
        <v>75</v>
      </c>
      <c r="B828" s="34" t="s">
        <v>221</v>
      </c>
      <c r="C828" s="34" t="s">
        <v>65</v>
      </c>
      <c r="D828" s="34" t="s">
        <v>222</v>
      </c>
      <c r="E828" s="32">
        <v>24</v>
      </c>
      <c r="F828" s="34" t="s">
        <v>151</v>
      </c>
      <c r="G828" s="35">
        <v>5.0000000000000001E-4</v>
      </c>
    </row>
    <row r="829" spans="1:7" x14ac:dyDescent="0.2">
      <c r="A829" s="34" t="s">
        <v>75</v>
      </c>
      <c r="B829" s="34" t="s">
        <v>221</v>
      </c>
      <c r="C829" s="34" t="s">
        <v>223</v>
      </c>
      <c r="D829" s="34" t="s">
        <v>224</v>
      </c>
      <c r="E829" s="32">
        <v>24</v>
      </c>
      <c r="F829" s="34" t="s">
        <v>151</v>
      </c>
      <c r="G829" s="35">
        <v>3.0000000000000001E-3</v>
      </c>
    </row>
    <row r="830" spans="1:7" x14ac:dyDescent="0.2">
      <c r="A830" s="34" t="s">
        <v>52</v>
      </c>
      <c r="B830" s="34" t="s">
        <v>52</v>
      </c>
      <c r="C830" s="34" t="s">
        <v>65</v>
      </c>
      <c r="D830" s="34" t="s">
        <v>237</v>
      </c>
      <c r="E830" s="32">
        <v>24</v>
      </c>
      <c r="F830" s="34" t="s">
        <v>151</v>
      </c>
      <c r="G830" s="35">
        <v>5.0000000000000001E-4</v>
      </c>
    </row>
    <row r="831" spans="1:7" x14ac:dyDescent="0.2">
      <c r="A831" s="34" t="s">
        <v>52</v>
      </c>
      <c r="B831" s="34" t="s">
        <v>52</v>
      </c>
      <c r="C831" s="34" t="s">
        <v>65</v>
      </c>
      <c r="D831" s="34" t="s">
        <v>238</v>
      </c>
      <c r="E831" s="32">
        <v>24</v>
      </c>
      <c r="F831" s="34" t="s">
        <v>151</v>
      </c>
      <c r="G831" s="35">
        <v>5.0000000000000001E-4</v>
      </c>
    </row>
    <row r="832" spans="1:7" x14ac:dyDescent="0.2">
      <c r="A832" s="34" t="s">
        <v>52</v>
      </c>
      <c r="B832" s="34" t="s">
        <v>52</v>
      </c>
      <c r="C832" s="34" t="s">
        <v>65</v>
      </c>
      <c r="D832" s="34" t="s">
        <v>239</v>
      </c>
      <c r="E832" s="32">
        <v>24</v>
      </c>
      <c r="F832" s="34" t="s">
        <v>151</v>
      </c>
      <c r="G832" s="35">
        <v>5.0000000000000001E-4</v>
      </c>
    </row>
    <row r="833" spans="1:7" x14ac:dyDescent="0.2">
      <c r="A833" s="34" t="s">
        <v>52</v>
      </c>
      <c r="B833" s="34" t="s">
        <v>52</v>
      </c>
      <c r="C833" s="34" t="s">
        <v>65</v>
      </c>
      <c r="D833" s="34" t="s">
        <v>240</v>
      </c>
      <c r="E833" s="32">
        <v>24</v>
      </c>
      <c r="F833" s="34" t="s">
        <v>151</v>
      </c>
      <c r="G833" s="35">
        <v>5.0000000000000001E-4</v>
      </c>
    </row>
    <row r="834" spans="1:7" x14ac:dyDescent="0.2">
      <c r="A834" s="34" t="s">
        <v>52</v>
      </c>
      <c r="B834" s="34" t="s">
        <v>52</v>
      </c>
      <c r="C834" s="34" t="s">
        <v>65</v>
      </c>
      <c r="D834" s="34" t="s">
        <v>245</v>
      </c>
      <c r="E834" s="32">
        <v>24</v>
      </c>
      <c r="F834" s="34" t="s">
        <v>151</v>
      </c>
      <c r="G834" s="35">
        <v>5.0000000000000001E-4</v>
      </c>
    </row>
    <row r="835" spans="1:7" x14ac:dyDescent="0.2">
      <c r="A835" s="34" t="s">
        <v>52</v>
      </c>
      <c r="B835" s="34" t="s">
        <v>52</v>
      </c>
      <c r="C835" s="34" t="s">
        <v>223</v>
      </c>
      <c r="D835" s="34" t="s">
        <v>241</v>
      </c>
      <c r="E835" s="32">
        <v>24</v>
      </c>
      <c r="F835" s="34" t="s">
        <v>151</v>
      </c>
      <c r="G835" s="35">
        <v>3.0000000000000001E-3</v>
      </c>
    </row>
    <row r="836" spans="1:7" x14ac:dyDescent="0.2">
      <c r="A836" s="34" t="s">
        <v>52</v>
      </c>
      <c r="B836" s="34" t="s">
        <v>52</v>
      </c>
      <c r="C836" s="34" t="s">
        <v>223</v>
      </c>
      <c r="D836" s="34" t="s">
        <v>246</v>
      </c>
      <c r="E836" s="32">
        <v>24</v>
      </c>
      <c r="F836" s="34" t="s">
        <v>151</v>
      </c>
      <c r="G836" s="35">
        <v>3.0000000000000001E-3</v>
      </c>
    </row>
    <row r="837" spans="1:7" x14ac:dyDescent="0.2">
      <c r="A837" s="34" t="s">
        <v>52</v>
      </c>
      <c r="B837" s="34" t="s">
        <v>52</v>
      </c>
      <c r="C837" s="34" t="s">
        <v>223</v>
      </c>
      <c r="D837" s="34" t="s">
        <v>242</v>
      </c>
      <c r="E837" s="32">
        <v>24</v>
      </c>
      <c r="F837" s="34" t="s">
        <v>151</v>
      </c>
      <c r="G837" s="35">
        <v>3.0000000000000001E-3</v>
      </c>
    </row>
    <row r="838" spans="1:7" x14ac:dyDescent="0.2">
      <c r="A838" s="34" t="s">
        <v>52</v>
      </c>
      <c r="B838" s="34" t="s">
        <v>52</v>
      </c>
      <c r="C838" s="34" t="s">
        <v>223</v>
      </c>
      <c r="D838" s="34" t="s">
        <v>243</v>
      </c>
      <c r="E838" s="32">
        <v>24</v>
      </c>
      <c r="F838" s="34" t="s">
        <v>151</v>
      </c>
      <c r="G838" s="35">
        <v>3.0000000000000001E-3</v>
      </c>
    </row>
    <row r="839" spans="1:7" x14ac:dyDescent="0.2">
      <c r="A839" s="34" t="s">
        <v>52</v>
      </c>
      <c r="B839" s="34" t="s">
        <v>52</v>
      </c>
      <c r="C839" s="34" t="s">
        <v>223</v>
      </c>
      <c r="D839" s="34" t="s">
        <v>244</v>
      </c>
      <c r="E839" s="32">
        <v>24</v>
      </c>
      <c r="F839" s="34" t="s">
        <v>151</v>
      </c>
      <c r="G839" s="35">
        <v>3.0000000000000001E-3</v>
      </c>
    </row>
    <row r="840" spans="1:7" x14ac:dyDescent="0.2">
      <c r="A840" s="34" t="s">
        <v>52</v>
      </c>
      <c r="B840" s="34" t="s">
        <v>221</v>
      </c>
      <c r="C840" s="34" t="s">
        <v>65</v>
      </c>
      <c r="D840" s="34" t="s">
        <v>225</v>
      </c>
      <c r="E840" s="32">
        <v>24</v>
      </c>
      <c r="F840" s="34" t="s">
        <v>151</v>
      </c>
      <c r="G840" s="35">
        <v>5.0000000000000001E-4</v>
      </c>
    </row>
    <row r="841" spans="1:7" x14ac:dyDescent="0.2">
      <c r="A841" s="34" t="s">
        <v>52</v>
      </c>
      <c r="B841" s="34" t="s">
        <v>221</v>
      </c>
      <c r="C841" s="34" t="s">
        <v>223</v>
      </c>
      <c r="D841" s="34" t="s">
        <v>226</v>
      </c>
      <c r="E841" s="32">
        <v>24</v>
      </c>
      <c r="F841" s="34" t="s">
        <v>151</v>
      </c>
      <c r="G841" s="35">
        <v>1.5E-3</v>
      </c>
    </row>
    <row r="842" spans="1:7" x14ac:dyDescent="0.2">
      <c r="A842" s="34" t="s">
        <v>75</v>
      </c>
      <c r="B842" s="34" t="s">
        <v>75</v>
      </c>
      <c r="C842" s="34" t="s">
        <v>65</v>
      </c>
      <c r="D842" s="34" t="s">
        <v>233</v>
      </c>
      <c r="E842" s="32">
        <v>27</v>
      </c>
      <c r="F842" s="34" t="s">
        <v>151</v>
      </c>
      <c r="G842" s="35">
        <v>0.15301689569999996</v>
      </c>
    </row>
    <row r="843" spans="1:7" x14ac:dyDescent="0.2">
      <c r="A843" s="34" t="s">
        <v>75</v>
      </c>
      <c r="B843" s="34" t="s">
        <v>75</v>
      </c>
      <c r="C843" s="34" t="s">
        <v>65</v>
      </c>
      <c r="D843" s="34" t="s">
        <v>227</v>
      </c>
      <c r="E843" s="32">
        <v>27</v>
      </c>
      <c r="F843" s="34" t="s">
        <v>151</v>
      </c>
      <c r="G843" s="35">
        <v>0.14831234770000001</v>
      </c>
    </row>
    <row r="844" spans="1:7" x14ac:dyDescent="0.2">
      <c r="A844" s="34" t="s">
        <v>75</v>
      </c>
      <c r="B844" s="34" t="s">
        <v>75</v>
      </c>
      <c r="C844" s="34" t="s">
        <v>65</v>
      </c>
      <c r="D844" s="34" t="s">
        <v>228</v>
      </c>
      <c r="E844" s="32">
        <v>27</v>
      </c>
      <c r="F844" s="34" t="s">
        <v>151</v>
      </c>
      <c r="G844" s="35">
        <v>0.1746871877</v>
      </c>
    </row>
    <row r="845" spans="1:7" x14ac:dyDescent="0.2">
      <c r="A845" s="34" t="s">
        <v>75</v>
      </c>
      <c r="B845" s="34" t="s">
        <v>75</v>
      </c>
      <c r="C845" s="34" t="s">
        <v>65</v>
      </c>
      <c r="D845" s="34" t="s">
        <v>229</v>
      </c>
      <c r="E845" s="32">
        <v>27</v>
      </c>
      <c r="F845" s="34" t="s">
        <v>151</v>
      </c>
      <c r="G845" s="35">
        <v>0.19499746769999998</v>
      </c>
    </row>
    <row r="846" spans="1:7" x14ac:dyDescent="0.2">
      <c r="A846" s="34" t="s">
        <v>75</v>
      </c>
      <c r="B846" s="34" t="s">
        <v>75</v>
      </c>
      <c r="C846" s="34" t="s">
        <v>65</v>
      </c>
      <c r="D846" s="34" t="s">
        <v>234</v>
      </c>
      <c r="E846" s="32">
        <v>27</v>
      </c>
      <c r="F846" s="34" t="s">
        <v>151</v>
      </c>
      <c r="G846" s="35">
        <v>0.20050918769999998</v>
      </c>
    </row>
    <row r="847" spans="1:7" x14ac:dyDescent="0.2">
      <c r="A847" s="34" t="s">
        <v>75</v>
      </c>
      <c r="B847" s="34" t="s">
        <v>75</v>
      </c>
      <c r="C847" s="34" t="s">
        <v>223</v>
      </c>
      <c r="D847" s="34" t="s">
        <v>230</v>
      </c>
      <c r="E847" s="32">
        <v>27</v>
      </c>
      <c r="F847" s="34" t="s">
        <v>151</v>
      </c>
      <c r="G847" s="35">
        <v>0.14553994770000001</v>
      </c>
    </row>
    <row r="848" spans="1:7" x14ac:dyDescent="0.2">
      <c r="A848" s="34" t="s">
        <v>75</v>
      </c>
      <c r="B848" s="34" t="s">
        <v>75</v>
      </c>
      <c r="C848" s="34" t="s">
        <v>223</v>
      </c>
      <c r="D848" s="34" t="s">
        <v>231</v>
      </c>
      <c r="E848" s="32">
        <v>27</v>
      </c>
      <c r="F848" s="34" t="s">
        <v>151</v>
      </c>
      <c r="G848" s="35">
        <v>8.0210719700000002E-2</v>
      </c>
    </row>
    <row r="849" spans="1:7" x14ac:dyDescent="0.2">
      <c r="A849" s="34" t="s">
        <v>75</v>
      </c>
      <c r="B849" s="34" t="s">
        <v>75</v>
      </c>
      <c r="C849" s="34" t="s">
        <v>223</v>
      </c>
      <c r="D849" s="34" t="s">
        <v>235</v>
      </c>
      <c r="E849" s="32">
        <v>27</v>
      </c>
      <c r="F849" s="34" t="s">
        <v>151</v>
      </c>
      <c r="G849" s="35">
        <v>5.1438923699999986E-2</v>
      </c>
    </row>
    <row r="850" spans="1:7" x14ac:dyDescent="0.2">
      <c r="A850" s="34" t="s">
        <v>75</v>
      </c>
      <c r="B850" s="34" t="s">
        <v>75</v>
      </c>
      <c r="C850" s="34" t="s">
        <v>223</v>
      </c>
      <c r="D850" s="34" t="s">
        <v>232</v>
      </c>
      <c r="E850" s="32">
        <v>27</v>
      </c>
      <c r="F850" s="34" t="s">
        <v>151</v>
      </c>
      <c r="G850" s="35">
        <v>0.15187454769999997</v>
      </c>
    </row>
    <row r="851" spans="1:7" x14ac:dyDescent="0.2">
      <c r="A851" s="34" t="s">
        <v>75</v>
      </c>
      <c r="B851" s="34" t="s">
        <v>75</v>
      </c>
      <c r="C851" s="34" t="s">
        <v>223</v>
      </c>
      <c r="D851" s="34" t="s">
        <v>236</v>
      </c>
      <c r="E851" s="32">
        <v>27</v>
      </c>
      <c r="F851" s="34" t="s">
        <v>151</v>
      </c>
      <c r="G851" s="35">
        <v>0.18342878770000007</v>
      </c>
    </row>
    <row r="852" spans="1:7" x14ac:dyDescent="0.2">
      <c r="A852" s="34" t="s">
        <v>75</v>
      </c>
      <c r="B852" s="34" t="s">
        <v>221</v>
      </c>
      <c r="C852" s="34" t="s">
        <v>65</v>
      </c>
      <c r="D852" s="34" t="s">
        <v>222</v>
      </c>
      <c r="E852" s="32">
        <v>27</v>
      </c>
      <c r="F852" s="34" t="s">
        <v>151</v>
      </c>
      <c r="G852" s="35">
        <v>0.21905762770000003</v>
      </c>
    </row>
    <row r="853" spans="1:7" x14ac:dyDescent="0.2">
      <c r="A853" s="34" t="s">
        <v>75</v>
      </c>
      <c r="B853" s="34" t="s">
        <v>221</v>
      </c>
      <c r="C853" s="34" t="s">
        <v>223</v>
      </c>
      <c r="D853" s="34" t="s">
        <v>224</v>
      </c>
      <c r="E853" s="32">
        <v>27</v>
      </c>
      <c r="F853" s="34" t="s">
        <v>151</v>
      </c>
      <c r="G853" s="35">
        <v>0.16920466770000001</v>
      </c>
    </row>
    <row r="854" spans="1:7" x14ac:dyDescent="0.2">
      <c r="A854" s="34" t="s">
        <v>52</v>
      </c>
      <c r="B854" s="34" t="s">
        <v>52</v>
      </c>
      <c r="C854" s="34" t="s">
        <v>65</v>
      </c>
      <c r="D854" s="34" t="s">
        <v>237</v>
      </c>
      <c r="E854" s="32">
        <v>27</v>
      </c>
      <c r="F854" s="34" t="s">
        <v>151</v>
      </c>
      <c r="G854" s="35">
        <v>9.2113199489999992E-2</v>
      </c>
    </row>
    <row r="855" spans="1:7" x14ac:dyDescent="0.2">
      <c r="A855" s="34" t="s">
        <v>52</v>
      </c>
      <c r="B855" s="34" t="s">
        <v>52</v>
      </c>
      <c r="C855" s="34" t="s">
        <v>65</v>
      </c>
      <c r="D855" s="34" t="s">
        <v>238</v>
      </c>
      <c r="E855" s="32">
        <v>27</v>
      </c>
      <c r="F855" s="34" t="s">
        <v>151</v>
      </c>
      <c r="G855" s="35">
        <v>9.5753663489999988E-2</v>
      </c>
    </row>
    <row r="856" spans="1:7" x14ac:dyDescent="0.2">
      <c r="A856" s="34" t="s">
        <v>52</v>
      </c>
      <c r="B856" s="34" t="s">
        <v>52</v>
      </c>
      <c r="C856" s="34" t="s">
        <v>65</v>
      </c>
      <c r="D856" s="34" t="s">
        <v>239</v>
      </c>
      <c r="E856" s="32">
        <v>27</v>
      </c>
      <c r="F856" s="34" t="s">
        <v>151</v>
      </c>
      <c r="G856" s="35">
        <v>0.14083220748999997</v>
      </c>
    </row>
    <row r="857" spans="1:7" x14ac:dyDescent="0.2">
      <c r="A857" s="34" t="s">
        <v>52</v>
      </c>
      <c r="B857" s="34" t="s">
        <v>52</v>
      </c>
      <c r="C857" s="34" t="s">
        <v>65</v>
      </c>
      <c r="D857" s="34" t="s">
        <v>240</v>
      </c>
      <c r="E857" s="32">
        <v>27</v>
      </c>
      <c r="F857" s="34" t="s">
        <v>151</v>
      </c>
      <c r="G857" s="35">
        <v>0.12314399548999999</v>
      </c>
    </row>
    <row r="858" spans="1:7" x14ac:dyDescent="0.2">
      <c r="A858" s="34" t="s">
        <v>52</v>
      </c>
      <c r="B858" s="34" t="s">
        <v>52</v>
      </c>
      <c r="C858" s="34" t="s">
        <v>65</v>
      </c>
      <c r="D858" s="34" t="s">
        <v>245</v>
      </c>
      <c r="E858" s="32">
        <v>27</v>
      </c>
      <c r="F858" s="34" t="s">
        <v>151</v>
      </c>
      <c r="G858" s="35">
        <v>0.14075728748999999</v>
      </c>
    </row>
    <row r="859" spans="1:7" x14ac:dyDescent="0.2">
      <c r="A859" s="34" t="s">
        <v>52</v>
      </c>
      <c r="B859" s="34" t="s">
        <v>52</v>
      </c>
      <c r="C859" s="34" t="s">
        <v>223</v>
      </c>
      <c r="D859" s="34" t="s">
        <v>241</v>
      </c>
      <c r="E859" s="32">
        <v>27</v>
      </c>
      <c r="F859" s="34" t="s">
        <v>151</v>
      </c>
      <c r="G859" s="35">
        <v>3.596600749E-2</v>
      </c>
    </row>
    <row r="860" spans="1:7" x14ac:dyDescent="0.2">
      <c r="A860" s="34" t="s">
        <v>52</v>
      </c>
      <c r="B860" s="34" t="s">
        <v>52</v>
      </c>
      <c r="C860" s="34" t="s">
        <v>223</v>
      </c>
      <c r="D860" s="34" t="s">
        <v>246</v>
      </c>
      <c r="E860" s="32">
        <v>27</v>
      </c>
      <c r="F860" s="34" t="s">
        <v>151</v>
      </c>
      <c r="G860" s="35">
        <v>3.0582107489999996E-2</v>
      </c>
    </row>
    <row r="861" spans="1:7" x14ac:dyDescent="0.2">
      <c r="A861" s="34" t="s">
        <v>52</v>
      </c>
      <c r="B861" s="34" t="s">
        <v>52</v>
      </c>
      <c r="C861" s="34" t="s">
        <v>223</v>
      </c>
      <c r="D861" s="34" t="s">
        <v>242</v>
      </c>
      <c r="E861" s="32">
        <v>27</v>
      </c>
      <c r="F861" s="34" t="s">
        <v>151</v>
      </c>
      <c r="G861" s="35">
        <v>5.6547967489999997E-2</v>
      </c>
    </row>
    <row r="862" spans="1:7" x14ac:dyDescent="0.2">
      <c r="A862" s="34" t="s">
        <v>52</v>
      </c>
      <c r="B862" s="34" t="s">
        <v>52</v>
      </c>
      <c r="C862" s="34" t="s">
        <v>223</v>
      </c>
      <c r="D862" s="34" t="s">
        <v>243</v>
      </c>
      <c r="E862" s="32">
        <v>27</v>
      </c>
      <c r="F862" s="34" t="s">
        <v>151</v>
      </c>
      <c r="G862" s="35">
        <v>4.8983511489999992E-2</v>
      </c>
    </row>
    <row r="863" spans="1:7" x14ac:dyDescent="0.2">
      <c r="A863" s="34" t="s">
        <v>52</v>
      </c>
      <c r="B863" s="34" t="s">
        <v>52</v>
      </c>
      <c r="C863" s="34" t="s">
        <v>223</v>
      </c>
      <c r="D863" s="34" t="s">
        <v>244</v>
      </c>
      <c r="E863" s="32">
        <v>27</v>
      </c>
      <c r="F863" s="34" t="s">
        <v>151</v>
      </c>
      <c r="G863" s="35">
        <v>1.9359223490000008E-2</v>
      </c>
    </row>
    <row r="864" spans="1:7" x14ac:dyDescent="0.2">
      <c r="A864" s="34" t="s">
        <v>52</v>
      </c>
      <c r="B864" s="34" t="s">
        <v>221</v>
      </c>
      <c r="C864" s="34" t="s">
        <v>65</v>
      </c>
      <c r="D864" s="34" t="s">
        <v>225</v>
      </c>
      <c r="E864" s="32">
        <v>27</v>
      </c>
      <c r="F864" s="34" t="s">
        <v>151</v>
      </c>
      <c r="G864" s="35">
        <v>5.5791967489999997E-2</v>
      </c>
    </row>
    <row r="865" spans="1:7" x14ac:dyDescent="0.2">
      <c r="A865" s="34" t="s">
        <v>52</v>
      </c>
      <c r="B865" s="34" t="s">
        <v>221</v>
      </c>
      <c r="C865" s="34" t="s">
        <v>223</v>
      </c>
      <c r="D865" s="34" t="s">
        <v>226</v>
      </c>
      <c r="E865" s="32">
        <v>27</v>
      </c>
      <c r="F865" s="34" t="s">
        <v>151</v>
      </c>
      <c r="G865" s="35">
        <v>2.0043119489999997E-2</v>
      </c>
    </row>
    <row r="866" spans="1:7" x14ac:dyDescent="0.2">
      <c r="A866" s="34" t="s">
        <v>75</v>
      </c>
      <c r="B866" s="34" t="s">
        <v>75</v>
      </c>
      <c r="C866" s="34" t="s">
        <v>65</v>
      </c>
      <c r="D866" s="34" t="s">
        <v>233</v>
      </c>
      <c r="E866" s="32">
        <v>27</v>
      </c>
      <c r="F866" s="34" t="s">
        <v>151</v>
      </c>
      <c r="G866" s="35">
        <v>5.0000000000000001E-4</v>
      </c>
    </row>
    <row r="867" spans="1:7" x14ac:dyDescent="0.2">
      <c r="A867" s="34" t="s">
        <v>75</v>
      </c>
      <c r="B867" s="34" t="s">
        <v>75</v>
      </c>
      <c r="C867" s="34" t="s">
        <v>65</v>
      </c>
      <c r="D867" s="34" t="s">
        <v>227</v>
      </c>
      <c r="E867" s="32">
        <v>27</v>
      </c>
      <c r="F867" s="34" t="s">
        <v>151</v>
      </c>
      <c r="G867" s="35">
        <v>5.0000000000000001E-4</v>
      </c>
    </row>
    <row r="868" spans="1:7" x14ac:dyDescent="0.2">
      <c r="A868" s="34" t="s">
        <v>75</v>
      </c>
      <c r="B868" s="34" t="s">
        <v>75</v>
      </c>
      <c r="C868" s="34" t="s">
        <v>65</v>
      </c>
      <c r="D868" s="34" t="s">
        <v>228</v>
      </c>
      <c r="E868" s="32">
        <v>27</v>
      </c>
      <c r="F868" s="34" t="s">
        <v>151</v>
      </c>
      <c r="G868" s="35">
        <v>5.0000000000000001E-4</v>
      </c>
    </row>
    <row r="869" spans="1:7" x14ac:dyDescent="0.2">
      <c r="A869" s="34" t="s">
        <v>75</v>
      </c>
      <c r="B869" s="34" t="s">
        <v>75</v>
      </c>
      <c r="C869" s="34" t="s">
        <v>65</v>
      </c>
      <c r="D869" s="34" t="s">
        <v>229</v>
      </c>
      <c r="E869" s="32">
        <v>27</v>
      </c>
      <c r="F869" s="34" t="s">
        <v>151</v>
      </c>
      <c r="G869" s="35">
        <v>5.0000000000000001E-4</v>
      </c>
    </row>
    <row r="870" spans="1:7" x14ac:dyDescent="0.2">
      <c r="A870" s="34" t="s">
        <v>75</v>
      </c>
      <c r="B870" s="34" t="s">
        <v>75</v>
      </c>
      <c r="C870" s="34" t="s">
        <v>65</v>
      </c>
      <c r="D870" s="34" t="s">
        <v>234</v>
      </c>
      <c r="E870" s="32">
        <v>27</v>
      </c>
      <c r="F870" s="34" t="s">
        <v>151</v>
      </c>
      <c r="G870" s="35">
        <v>5.0000000000000001E-4</v>
      </c>
    </row>
    <row r="871" spans="1:7" x14ac:dyDescent="0.2">
      <c r="A871" s="34" t="s">
        <v>75</v>
      </c>
      <c r="B871" s="34" t="s">
        <v>75</v>
      </c>
      <c r="C871" s="34" t="s">
        <v>223</v>
      </c>
      <c r="D871" s="34" t="s">
        <v>230</v>
      </c>
      <c r="E871" s="32">
        <v>27</v>
      </c>
      <c r="F871" s="34" t="s">
        <v>151</v>
      </c>
      <c r="G871" s="35">
        <v>3.0000000000000001E-3</v>
      </c>
    </row>
    <row r="872" spans="1:7" x14ac:dyDescent="0.2">
      <c r="A872" s="34" t="s">
        <v>75</v>
      </c>
      <c r="B872" s="34" t="s">
        <v>75</v>
      </c>
      <c r="C872" s="34" t="s">
        <v>223</v>
      </c>
      <c r="D872" s="34" t="s">
        <v>231</v>
      </c>
      <c r="E872" s="32">
        <v>27</v>
      </c>
      <c r="F872" s="34" t="s">
        <v>151</v>
      </c>
      <c r="G872" s="35">
        <v>3.0000000000000001E-3</v>
      </c>
    </row>
    <row r="873" spans="1:7" x14ac:dyDescent="0.2">
      <c r="A873" s="34" t="s">
        <v>75</v>
      </c>
      <c r="B873" s="34" t="s">
        <v>75</v>
      </c>
      <c r="C873" s="34" t="s">
        <v>223</v>
      </c>
      <c r="D873" s="34" t="s">
        <v>235</v>
      </c>
      <c r="E873" s="32">
        <v>27</v>
      </c>
      <c r="F873" s="34" t="s">
        <v>151</v>
      </c>
      <c r="G873" s="35">
        <v>3.0000000000000001E-3</v>
      </c>
    </row>
    <row r="874" spans="1:7" x14ac:dyDescent="0.2">
      <c r="A874" s="34" t="s">
        <v>75</v>
      </c>
      <c r="B874" s="34" t="s">
        <v>75</v>
      </c>
      <c r="C874" s="34" t="s">
        <v>223</v>
      </c>
      <c r="D874" s="34" t="s">
        <v>232</v>
      </c>
      <c r="E874" s="32">
        <v>27</v>
      </c>
      <c r="F874" s="34" t="s">
        <v>151</v>
      </c>
      <c r="G874" s="35">
        <v>3.0000000000000001E-3</v>
      </c>
    </row>
    <row r="875" spans="1:7" x14ac:dyDescent="0.2">
      <c r="A875" s="34" t="s">
        <v>75</v>
      </c>
      <c r="B875" s="34" t="s">
        <v>75</v>
      </c>
      <c r="C875" s="34" t="s">
        <v>223</v>
      </c>
      <c r="D875" s="34" t="s">
        <v>236</v>
      </c>
      <c r="E875" s="32">
        <v>27</v>
      </c>
      <c r="F875" s="34" t="s">
        <v>151</v>
      </c>
      <c r="G875" s="35">
        <v>3.0000000000000001E-3</v>
      </c>
    </row>
    <row r="876" spans="1:7" x14ac:dyDescent="0.2">
      <c r="A876" s="34" t="s">
        <v>75</v>
      </c>
      <c r="B876" s="34" t="s">
        <v>221</v>
      </c>
      <c r="C876" s="34" t="s">
        <v>65</v>
      </c>
      <c r="D876" s="34" t="s">
        <v>222</v>
      </c>
      <c r="E876" s="32">
        <v>27</v>
      </c>
      <c r="F876" s="34" t="s">
        <v>151</v>
      </c>
      <c r="G876" s="35">
        <v>5.0000000000000001E-4</v>
      </c>
    </row>
    <row r="877" spans="1:7" x14ac:dyDescent="0.2">
      <c r="A877" s="34" t="s">
        <v>75</v>
      </c>
      <c r="B877" s="34" t="s">
        <v>221</v>
      </c>
      <c r="C877" s="34" t="s">
        <v>223</v>
      </c>
      <c r="D877" s="34" t="s">
        <v>224</v>
      </c>
      <c r="E877" s="32">
        <v>27</v>
      </c>
      <c r="F877" s="34" t="s">
        <v>151</v>
      </c>
      <c r="G877" s="35">
        <v>3.0000000000000001E-3</v>
      </c>
    </row>
    <row r="878" spans="1:7" x14ac:dyDescent="0.2">
      <c r="A878" s="34" t="s">
        <v>52</v>
      </c>
      <c r="B878" s="34" t="s">
        <v>52</v>
      </c>
      <c r="C878" s="34" t="s">
        <v>65</v>
      </c>
      <c r="D878" s="34" t="s">
        <v>237</v>
      </c>
      <c r="E878" s="32">
        <v>27</v>
      </c>
      <c r="F878" s="34" t="s">
        <v>151</v>
      </c>
      <c r="G878" s="35">
        <v>5.0000000000000001E-4</v>
      </c>
    </row>
    <row r="879" spans="1:7" x14ac:dyDescent="0.2">
      <c r="A879" s="34" t="s">
        <v>52</v>
      </c>
      <c r="B879" s="34" t="s">
        <v>52</v>
      </c>
      <c r="C879" s="34" t="s">
        <v>65</v>
      </c>
      <c r="D879" s="34" t="s">
        <v>238</v>
      </c>
      <c r="E879" s="32">
        <v>27</v>
      </c>
      <c r="F879" s="34" t="s">
        <v>151</v>
      </c>
      <c r="G879" s="35">
        <v>5.0000000000000001E-4</v>
      </c>
    </row>
    <row r="880" spans="1:7" x14ac:dyDescent="0.2">
      <c r="A880" s="34" t="s">
        <v>52</v>
      </c>
      <c r="B880" s="34" t="s">
        <v>52</v>
      </c>
      <c r="C880" s="34" t="s">
        <v>65</v>
      </c>
      <c r="D880" s="34" t="s">
        <v>239</v>
      </c>
      <c r="E880" s="32">
        <v>27</v>
      </c>
      <c r="F880" s="34" t="s">
        <v>151</v>
      </c>
      <c r="G880" s="35">
        <v>5.0000000000000001E-4</v>
      </c>
    </row>
    <row r="881" spans="1:7" x14ac:dyDescent="0.2">
      <c r="A881" s="34" t="s">
        <v>52</v>
      </c>
      <c r="B881" s="34" t="s">
        <v>52</v>
      </c>
      <c r="C881" s="34" t="s">
        <v>65</v>
      </c>
      <c r="D881" s="34" t="s">
        <v>240</v>
      </c>
      <c r="E881" s="32">
        <v>27</v>
      </c>
      <c r="F881" s="34" t="s">
        <v>151</v>
      </c>
      <c r="G881" s="35">
        <v>5.0000000000000001E-4</v>
      </c>
    </row>
    <row r="882" spans="1:7" x14ac:dyDescent="0.2">
      <c r="A882" s="34" t="s">
        <v>52</v>
      </c>
      <c r="B882" s="34" t="s">
        <v>52</v>
      </c>
      <c r="C882" s="34" t="s">
        <v>65</v>
      </c>
      <c r="D882" s="34" t="s">
        <v>245</v>
      </c>
      <c r="E882" s="32">
        <v>27</v>
      </c>
      <c r="F882" s="34" t="s">
        <v>151</v>
      </c>
      <c r="G882" s="35">
        <v>5.0000000000000001E-4</v>
      </c>
    </row>
    <row r="883" spans="1:7" x14ac:dyDescent="0.2">
      <c r="A883" s="34" t="s">
        <v>52</v>
      </c>
      <c r="B883" s="34" t="s">
        <v>52</v>
      </c>
      <c r="C883" s="34" t="s">
        <v>223</v>
      </c>
      <c r="D883" s="34" t="s">
        <v>241</v>
      </c>
      <c r="E883" s="32">
        <v>27</v>
      </c>
      <c r="F883" s="34" t="s">
        <v>151</v>
      </c>
      <c r="G883" s="35">
        <v>3.0000000000000001E-3</v>
      </c>
    </row>
    <row r="884" spans="1:7" x14ac:dyDescent="0.2">
      <c r="A884" s="34" t="s">
        <v>52</v>
      </c>
      <c r="B884" s="34" t="s">
        <v>52</v>
      </c>
      <c r="C884" s="34" t="s">
        <v>223</v>
      </c>
      <c r="D884" s="34" t="s">
        <v>246</v>
      </c>
      <c r="E884" s="32">
        <v>27</v>
      </c>
      <c r="F884" s="34" t="s">
        <v>151</v>
      </c>
      <c r="G884" s="35">
        <v>3.0000000000000001E-3</v>
      </c>
    </row>
    <row r="885" spans="1:7" x14ac:dyDescent="0.2">
      <c r="A885" s="34" t="s">
        <v>52</v>
      </c>
      <c r="B885" s="34" t="s">
        <v>52</v>
      </c>
      <c r="C885" s="34" t="s">
        <v>223</v>
      </c>
      <c r="D885" s="34" t="s">
        <v>242</v>
      </c>
      <c r="E885" s="32">
        <v>27</v>
      </c>
      <c r="F885" s="34" t="s">
        <v>151</v>
      </c>
      <c r="G885" s="35">
        <v>3.0000000000000001E-3</v>
      </c>
    </row>
    <row r="886" spans="1:7" x14ac:dyDescent="0.2">
      <c r="A886" s="34" t="s">
        <v>52</v>
      </c>
      <c r="B886" s="34" t="s">
        <v>52</v>
      </c>
      <c r="C886" s="34" t="s">
        <v>223</v>
      </c>
      <c r="D886" s="34" t="s">
        <v>243</v>
      </c>
      <c r="E886" s="32">
        <v>27</v>
      </c>
      <c r="F886" s="34" t="s">
        <v>151</v>
      </c>
      <c r="G886" s="35">
        <v>3.0000000000000001E-3</v>
      </c>
    </row>
    <row r="887" spans="1:7" x14ac:dyDescent="0.2">
      <c r="A887" s="34" t="s">
        <v>52</v>
      </c>
      <c r="B887" s="34" t="s">
        <v>52</v>
      </c>
      <c r="C887" s="34" t="s">
        <v>223</v>
      </c>
      <c r="D887" s="34" t="s">
        <v>244</v>
      </c>
      <c r="E887" s="32">
        <v>27</v>
      </c>
      <c r="F887" s="34" t="s">
        <v>151</v>
      </c>
      <c r="G887" s="35">
        <v>3.0000000000000001E-3</v>
      </c>
    </row>
    <row r="888" spans="1:7" x14ac:dyDescent="0.2">
      <c r="A888" s="34" t="s">
        <v>52</v>
      </c>
      <c r="B888" s="34" t="s">
        <v>221</v>
      </c>
      <c r="C888" s="34" t="s">
        <v>65</v>
      </c>
      <c r="D888" s="34" t="s">
        <v>225</v>
      </c>
      <c r="E888" s="32">
        <v>27</v>
      </c>
      <c r="F888" s="34" t="s">
        <v>151</v>
      </c>
      <c r="G888" s="35">
        <v>5.0000000000000001E-4</v>
      </c>
    </row>
    <row r="889" spans="1:7" x14ac:dyDescent="0.2">
      <c r="A889" s="34" t="s">
        <v>52</v>
      </c>
      <c r="B889" s="34" t="s">
        <v>221</v>
      </c>
      <c r="C889" s="34" t="s">
        <v>223</v>
      </c>
      <c r="D889" s="34" t="s">
        <v>226</v>
      </c>
      <c r="E889" s="32">
        <v>27</v>
      </c>
      <c r="F889" s="34" t="s">
        <v>151</v>
      </c>
      <c r="G889" s="35">
        <v>3.0000000000000001E-3</v>
      </c>
    </row>
    <row r="890" spans="1:7" x14ac:dyDescent="0.2">
      <c r="A890" s="34" t="s">
        <v>75</v>
      </c>
      <c r="B890" s="34" t="s">
        <v>75</v>
      </c>
      <c r="C890" s="34" t="s">
        <v>65</v>
      </c>
      <c r="D890" s="34" t="s">
        <v>233</v>
      </c>
      <c r="E890" s="32">
        <v>30</v>
      </c>
      <c r="F890" s="34" t="s">
        <v>151</v>
      </c>
      <c r="G890" s="35">
        <v>0.13399906015800001</v>
      </c>
    </row>
    <row r="891" spans="1:7" x14ac:dyDescent="0.2">
      <c r="A891" s="34" t="s">
        <v>75</v>
      </c>
      <c r="B891" s="34" t="s">
        <v>75</v>
      </c>
      <c r="C891" s="34" t="s">
        <v>65</v>
      </c>
      <c r="D891" s="34" t="s">
        <v>227</v>
      </c>
      <c r="E891" s="32">
        <v>30</v>
      </c>
      <c r="F891" s="34" t="s">
        <v>151</v>
      </c>
      <c r="G891" s="35">
        <v>0.11186707615799998</v>
      </c>
    </row>
    <row r="892" spans="1:7" x14ac:dyDescent="0.2">
      <c r="A892" s="34" t="s">
        <v>75</v>
      </c>
      <c r="B892" s="34" t="s">
        <v>75</v>
      </c>
      <c r="C892" s="34" t="s">
        <v>65</v>
      </c>
      <c r="D892" s="34" t="s">
        <v>228</v>
      </c>
      <c r="E892" s="32">
        <v>30</v>
      </c>
      <c r="F892" s="34" t="s">
        <v>151</v>
      </c>
      <c r="G892" s="35">
        <v>0.16538162415800001</v>
      </c>
    </row>
    <row r="893" spans="1:7" x14ac:dyDescent="0.2">
      <c r="A893" s="34" t="s">
        <v>75</v>
      </c>
      <c r="B893" s="34" t="s">
        <v>75</v>
      </c>
      <c r="C893" s="34" t="s">
        <v>65</v>
      </c>
      <c r="D893" s="34" t="s">
        <v>229</v>
      </c>
      <c r="E893" s="32">
        <v>30</v>
      </c>
      <c r="F893" s="34" t="s">
        <v>151</v>
      </c>
      <c r="G893" s="35">
        <v>0.17261368015799999</v>
      </c>
    </row>
    <row r="894" spans="1:7" x14ac:dyDescent="0.2">
      <c r="A894" s="34" t="s">
        <v>75</v>
      </c>
      <c r="B894" s="34" t="s">
        <v>75</v>
      </c>
      <c r="C894" s="34" t="s">
        <v>65</v>
      </c>
      <c r="D894" s="34" t="s">
        <v>234</v>
      </c>
      <c r="E894" s="32">
        <v>30</v>
      </c>
      <c r="F894" s="34" t="s">
        <v>151</v>
      </c>
      <c r="G894" s="35">
        <v>0.17556662415800001</v>
      </c>
    </row>
    <row r="895" spans="1:7" x14ac:dyDescent="0.2">
      <c r="A895" s="34" t="s">
        <v>75</v>
      </c>
      <c r="B895" s="34" t="s">
        <v>75</v>
      </c>
      <c r="C895" s="34" t="s">
        <v>223</v>
      </c>
      <c r="D895" s="34" t="s">
        <v>230</v>
      </c>
      <c r="E895" s="32">
        <v>30</v>
      </c>
      <c r="F895" s="34" t="s">
        <v>151</v>
      </c>
      <c r="G895" s="35">
        <v>4.9854164157999994E-2</v>
      </c>
    </row>
    <row r="896" spans="1:7" x14ac:dyDescent="0.2">
      <c r="A896" s="34" t="s">
        <v>75</v>
      </c>
      <c r="B896" s="34" t="s">
        <v>75</v>
      </c>
      <c r="C896" s="34" t="s">
        <v>223</v>
      </c>
      <c r="D896" s="34" t="s">
        <v>231</v>
      </c>
      <c r="E896" s="32">
        <v>30</v>
      </c>
      <c r="F896" s="34" t="s">
        <v>151</v>
      </c>
      <c r="G896" s="35">
        <v>5.3555764158000001E-2</v>
      </c>
    </row>
    <row r="897" spans="1:7" x14ac:dyDescent="0.2">
      <c r="A897" s="34" t="s">
        <v>75</v>
      </c>
      <c r="B897" s="34" t="s">
        <v>75</v>
      </c>
      <c r="C897" s="34" t="s">
        <v>223</v>
      </c>
      <c r="D897" s="34" t="s">
        <v>235</v>
      </c>
      <c r="E897" s="32">
        <v>30</v>
      </c>
      <c r="F897" s="34" t="s">
        <v>151</v>
      </c>
      <c r="G897" s="35">
        <v>1.6999138557999997E-2</v>
      </c>
    </row>
    <row r="898" spans="1:7" x14ac:dyDescent="0.2">
      <c r="A898" s="34" t="s">
        <v>75</v>
      </c>
      <c r="B898" s="34" t="s">
        <v>75</v>
      </c>
      <c r="C898" s="34" t="s">
        <v>223</v>
      </c>
      <c r="D898" s="34" t="s">
        <v>232</v>
      </c>
      <c r="E898" s="32">
        <v>30</v>
      </c>
      <c r="F898" s="34" t="s">
        <v>151</v>
      </c>
      <c r="G898" s="35">
        <v>4.2350384158E-2</v>
      </c>
    </row>
    <row r="899" spans="1:7" x14ac:dyDescent="0.2">
      <c r="A899" s="34" t="s">
        <v>75</v>
      </c>
      <c r="B899" s="34" t="s">
        <v>75</v>
      </c>
      <c r="C899" s="34" t="s">
        <v>223</v>
      </c>
      <c r="D899" s="34" t="s">
        <v>236</v>
      </c>
      <c r="E899" s="32">
        <v>30</v>
      </c>
      <c r="F899" s="34" t="s">
        <v>151</v>
      </c>
      <c r="G899" s="35">
        <v>9.9483476157999989E-2</v>
      </c>
    </row>
    <row r="900" spans="1:7" x14ac:dyDescent="0.2">
      <c r="A900" s="34" t="s">
        <v>75</v>
      </c>
      <c r="B900" s="34" t="s">
        <v>221</v>
      </c>
      <c r="C900" s="34" t="s">
        <v>65</v>
      </c>
      <c r="D900" s="34" t="s">
        <v>222</v>
      </c>
      <c r="E900" s="32">
        <v>30</v>
      </c>
      <c r="F900" s="34" t="s">
        <v>151</v>
      </c>
      <c r="G900" s="35">
        <v>0.14551114415799998</v>
      </c>
    </row>
    <row r="901" spans="1:7" x14ac:dyDescent="0.2">
      <c r="A901" s="34" t="s">
        <v>75</v>
      </c>
      <c r="B901" s="34" t="s">
        <v>221</v>
      </c>
      <c r="C901" s="34" t="s">
        <v>223</v>
      </c>
      <c r="D901" s="34" t="s">
        <v>224</v>
      </c>
      <c r="E901" s="32">
        <v>30</v>
      </c>
      <c r="F901" s="34" t="s">
        <v>151</v>
      </c>
      <c r="G901" s="35">
        <v>0.14253956415799998</v>
      </c>
    </row>
    <row r="902" spans="1:7" x14ac:dyDescent="0.2">
      <c r="A902" s="34" t="s">
        <v>52</v>
      </c>
      <c r="B902" s="34" t="s">
        <v>52</v>
      </c>
      <c r="C902" s="34" t="s">
        <v>65</v>
      </c>
      <c r="D902" s="34" t="s">
        <v>237</v>
      </c>
      <c r="E902" s="32">
        <v>30</v>
      </c>
      <c r="F902" s="34" t="s">
        <v>151</v>
      </c>
      <c r="G902" s="35">
        <v>0.12651560027100001</v>
      </c>
    </row>
    <row r="903" spans="1:7" x14ac:dyDescent="0.2">
      <c r="A903" s="34" t="s">
        <v>52</v>
      </c>
      <c r="B903" s="34" t="s">
        <v>52</v>
      </c>
      <c r="C903" s="34" t="s">
        <v>65</v>
      </c>
      <c r="D903" s="34" t="s">
        <v>238</v>
      </c>
      <c r="E903" s="32">
        <v>30</v>
      </c>
      <c r="F903" s="34" t="s">
        <v>151</v>
      </c>
      <c r="G903" s="35">
        <v>0.142480564271</v>
      </c>
    </row>
    <row r="904" spans="1:7" x14ac:dyDescent="0.2">
      <c r="A904" s="34" t="s">
        <v>52</v>
      </c>
      <c r="B904" s="34" t="s">
        <v>52</v>
      </c>
      <c r="C904" s="34" t="s">
        <v>65</v>
      </c>
      <c r="D904" s="34" t="s">
        <v>239</v>
      </c>
      <c r="E904" s="32">
        <v>30</v>
      </c>
      <c r="F904" s="34" t="s">
        <v>151</v>
      </c>
      <c r="G904" s="35">
        <v>0.17583084427099999</v>
      </c>
    </row>
    <row r="905" spans="1:7" x14ac:dyDescent="0.2">
      <c r="A905" s="34" t="s">
        <v>52</v>
      </c>
      <c r="B905" s="34" t="s">
        <v>52</v>
      </c>
      <c r="C905" s="34" t="s">
        <v>65</v>
      </c>
      <c r="D905" s="34" t="s">
        <v>240</v>
      </c>
      <c r="E905" s="32">
        <v>30</v>
      </c>
      <c r="F905" s="34" t="s">
        <v>151</v>
      </c>
      <c r="G905" s="35">
        <v>0.15647952427100001</v>
      </c>
    </row>
    <row r="906" spans="1:7" x14ac:dyDescent="0.2">
      <c r="A906" s="34" t="s">
        <v>52</v>
      </c>
      <c r="B906" s="34" t="s">
        <v>52</v>
      </c>
      <c r="C906" s="34" t="s">
        <v>65</v>
      </c>
      <c r="D906" s="34" t="s">
        <v>245</v>
      </c>
      <c r="E906" s="32">
        <v>30</v>
      </c>
      <c r="F906" s="34" t="s">
        <v>151</v>
      </c>
      <c r="G906" s="35">
        <v>0.14331200427099997</v>
      </c>
    </row>
    <row r="907" spans="1:7" x14ac:dyDescent="0.2">
      <c r="A907" s="34" t="s">
        <v>52</v>
      </c>
      <c r="B907" s="34" t="s">
        <v>52</v>
      </c>
      <c r="C907" s="34" t="s">
        <v>223</v>
      </c>
      <c r="D907" s="34" t="s">
        <v>241</v>
      </c>
      <c r="E907" s="32">
        <v>30</v>
      </c>
      <c r="F907" s="34" t="s">
        <v>151</v>
      </c>
      <c r="G907" s="35">
        <v>0.11373917627099998</v>
      </c>
    </row>
    <row r="908" spans="1:7" x14ac:dyDescent="0.2">
      <c r="A908" s="34" t="s">
        <v>52</v>
      </c>
      <c r="B908" s="34" t="s">
        <v>52</v>
      </c>
      <c r="C908" s="34" t="s">
        <v>223</v>
      </c>
      <c r="D908" s="34" t="s">
        <v>246</v>
      </c>
      <c r="E908" s="32">
        <v>30</v>
      </c>
      <c r="F908" s="34" t="s">
        <v>151</v>
      </c>
      <c r="G908" s="35">
        <v>4.3329624270999997E-2</v>
      </c>
    </row>
    <row r="909" spans="1:7" x14ac:dyDescent="0.2">
      <c r="A909" s="34" t="s">
        <v>52</v>
      </c>
      <c r="B909" s="34" t="s">
        <v>52</v>
      </c>
      <c r="C909" s="34" t="s">
        <v>223</v>
      </c>
      <c r="D909" s="34" t="s">
        <v>242</v>
      </c>
      <c r="E909" s="32">
        <v>30</v>
      </c>
      <c r="F909" s="34" t="s">
        <v>151</v>
      </c>
      <c r="G909" s="35">
        <v>0.14162422827100002</v>
      </c>
    </row>
    <row r="910" spans="1:7" x14ac:dyDescent="0.2">
      <c r="A910" s="34" t="s">
        <v>52</v>
      </c>
      <c r="B910" s="34" t="s">
        <v>52</v>
      </c>
      <c r="C910" s="34" t="s">
        <v>223</v>
      </c>
      <c r="D910" s="34" t="s">
        <v>243</v>
      </c>
      <c r="E910" s="32">
        <v>30</v>
      </c>
      <c r="F910" s="34" t="s">
        <v>151</v>
      </c>
      <c r="G910" s="35">
        <v>0.14073734827100001</v>
      </c>
    </row>
    <row r="911" spans="1:7" x14ac:dyDescent="0.2">
      <c r="A911" s="34" t="s">
        <v>52</v>
      </c>
      <c r="B911" s="34" t="s">
        <v>52</v>
      </c>
      <c r="C911" s="34" t="s">
        <v>223</v>
      </c>
      <c r="D911" s="34" t="s">
        <v>244</v>
      </c>
      <c r="E911" s="32">
        <v>30</v>
      </c>
      <c r="F911" s="34" t="s">
        <v>151</v>
      </c>
      <c r="G911" s="35">
        <v>5.0186724270999995E-2</v>
      </c>
    </row>
    <row r="912" spans="1:7" x14ac:dyDescent="0.2">
      <c r="A912" s="34" t="s">
        <v>52</v>
      </c>
      <c r="B912" s="34" t="s">
        <v>221</v>
      </c>
      <c r="C912" s="34" t="s">
        <v>65</v>
      </c>
      <c r="D912" s="34" t="s">
        <v>225</v>
      </c>
      <c r="E912" s="32">
        <v>30</v>
      </c>
      <c r="F912" s="34" t="s">
        <v>151</v>
      </c>
      <c r="G912" s="35">
        <v>8.8128960270999993E-2</v>
      </c>
    </row>
    <row r="913" spans="1:7" x14ac:dyDescent="0.2">
      <c r="A913" s="34" t="s">
        <v>52</v>
      </c>
      <c r="B913" s="34" t="s">
        <v>221</v>
      </c>
      <c r="C913" s="34" t="s">
        <v>223</v>
      </c>
      <c r="D913" s="34" t="s">
        <v>226</v>
      </c>
      <c r="E913" s="32">
        <v>30</v>
      </c>
      <c r="F913" s="34" t="s">
        <v>151</v>
      </c>
      <c r="G913" s="35">
        <v>5.9875376271000008E-2</v>
      </c>
    </row>
    <row r="914" spans="1:7" x14ac:dyDescent="0.2">
      <c r="A914" s="34" t="s">
        <v>75</v>
      </c>
      <c r="B914" s="34" t="s">
        <v>75</v>
      </c>
      <c r="C914" s="34" t="s">
        <v>65</v>
      </c>
      <c r="D914" s="34" t="s">
        <v>233</v>
      </c>
      <c r="E914" s="32">
        <v>30</v>
      </c>
      <c r="F914" s="34" t="s">
        <v>151</v>
      </c>
      <c r="G914" s="35">
        <v>5.0000000000000001E-4</v>
      </c>
    </row>
    <row r="915" spans="1:7" x14ac:dyDescent="0.2">
      <c r="A915" s="34" t="s">
        <v>75</v>
      </c>
      <c r="B915" s="34" t="s">
        <v>75</v>
      </c>
      <c r="C915" s="34" t="s">
        <v>65</v>
      </c>
      <c r="D915" s="34" t="s">
        <v>227</v>
      </c>
      <c r="E915" s="32">
        <v>30</v>
      </c>
      <c r="F915" s="34" t="s">
        <v>151</v>
      </c>
      <c r="G915" s="35">
        <v>5.0000000000000001E-4</v>
      </c>
    </row>
    <row r="916" spans="1:7" x14ac:dyDescent="0.2">
      <c r="A916" s="34" t="s">
        <v>75</v>
      </c>
      <c r="B916" s="34" t="s">
        <v>75</v>
      </c>
      <c r="C916" s="34" t="s">
        <v>65</v>
      </c>
      <c r="D916" s="34" t="s">
        <v>228</v>
      </c>
      <c r="E916" s="32">
        <v>30</v>
      </c>
      <c r="F916" s="34" t="s">
        <v>151</v>
      </c>
      <c r="G916" s="35">
        <v>5.0000000000000001E-4</v>
      </c>
    </row>
    <row r="917" spans="1:7" x14ac:dyDescent="0.2">
      <c r="A917" s="34" t="s">
        <v>75</v>
      </c>
      <c r="B917" s="34" t="s">
        <v>75</v>
      </c>
      <c r="C917" s="34" t="s">
        <v>65</v>
      </c>
      <c r="D917" s="34" t="s">
        <v>229</v>
      </c>
      <c r="E917" s="32">
        <v>30</v>
      </c>
      <c r="F917" s="34" t="s">
        <v>151</v>
      </c>
      <c r="G917" s="35">
        <v>5.0000000000000001E-4</v>
      </c>
    </row>
    <row r="918" spans="1:7" x14ac:dyDescent="0.2">
      <c r="A918" s="34" t="s">
        <v>75</v>
      </c>
      <c r="B918" s="34" t="s">
        <v>75</v>
      </c>
      <c r="C918" s="34" t="s">
        <v>65</v>
      </c>
      <c r="D918" s="34" t="s">
        <v>234</v>
      </c>
      <c r="E918" s="32">
        <v>30</v>
      </c>
      <c r="F918" s="34" t="s">
        <v>151</v>
      </c>
      <c r="G918" s="35">
        <v>5.0000000000000001E-4</v>
      </c>
    </row>
    <row r="919" spans="1:7" x14ac:dyDescent="0.2">
      <c r="A919" s="34" t="s">
        <v>75</v>
      </c>
      <c r="B919" s="34" t="s">
        <v>75</v>
      </c>
      <c r="C919" s="34" t="s">
        <v>223</v>
      </c>
      <c r="D919" s="34" t="s">
        <v>230</v>
      </c>
      <c r="E919" s="32">
        <v>30</v>
      </c>
      <c r="F919" s="34" t="s">
        <v>151</v>
      </c>
      <c r="G919" s="35">
        <v>3.0000000000000001E-3</v>
      </c>
    </row>
    <row r="920" spans="1:7" x14ac:dyDescent="0.2">
      <c r="A920" s="34" t="s">
        <v>75</v>
      </c>
      <c r="B920" s="34" t="s">
        <v>75</v>
      </c>
      <c r="C920" s="34" t="s">
        <v>223</v>
      </c>
      <c r="D920" s="34" t="s">
        <v>231</v>
      </c>
      <c r="E920" s="32">
        <v>30</v>
      </c>
      <c r="F920" s="34" t="s">
        <v>151</v>
      </c>
      <c r="G920" s="35">
        <v>3.0000000000000001E-3</v>
      </c>
    </row>
    <row r="921" spans="1:7" x14ac:dyDescent="0.2">
      <c r="A921" s="34" t="s">
        <v>75</v>
      </c>
      <c r="B921" s="34" t="s">
        <v>75</v>
      </c>
      <c r="C921" s="34" t="s">
        <v>223</v>
      </c>
      <c r="D921" s="34" t="s">
        <v>235</v>
      </c>
      <c r="E921" s="32">
        <v>30</v>
      </c>
      <c r="F921" s="34" t="s">
        <v>151</v>
      </c>
      <c r="G921" s="35">
        <v>3.0000000000000001E-3</v>
      </c>
    </row>
    <row r="922" spans="1:7" x14ac:dyDescent="0.2">
      <c r="A922" s="34" t="s">
        <v>75</v>
      </c>
      <c r="B922" s="34" t="s">
        <v>75</v>
      </c>
      <c r="C922" s="34" t="s">
        <v>223</v>
      </c>
      <c r="D922" s="34" t="s">
        <v>232</v>
      </c>
      <c r="E922" s="32">
        <v>30</v>
      </c>
      <c r="F922" s="34" t="s">
        <v>151</v>
      </c>
      <c r="G922" s="35">
        <v>3.0000000000000001E-3</v>
      </c>
    </row>
    <row r="923" spans="1:7" x14ac:dyDescent="0.2">
      <c r="A923" s="34" t="s">
        <v>75</v>
      </c>
      <c r="B923" s="34" t="s">
        <v>75</v>
      </c>
      <c r="C923" s="34" t="s">
        <v>223</v>
      </c>
      <c r="D923" s="34" t="s">
        <v>236</v>
      </c>
      <c r="E923" s="32">
        <v>30</v>
      </c>
      <c r="F923" s="34" t="s">
        <v>151</v>
      </c>
      <c r="G923" s="35">
        <v>3.0000000000000001E-3</v>
      </c>
    </row>
    <row r="924" spans="1:7" x14ac:dyDescent="0.2">
      <c r="A924" s="34" t="s">
        <v>75</v>
      </c>
      <c r="B924" s="34" t="s">
        <v>221</v>
      </c>
      <c r="C924" s="34" t="s">
        <v>65</v>
      </c>
      <c r="D924" s="34" t="s">
        <v>222</v>
      </c>
      <c r="E924" s="32">
        <v>30</v>
      </c>
      <c r="F924" s="34" t="s">
        <v>151</v>
      </c>
      <c r="G924" s="35">
        <v>5.0000000000000001E-4</v>
      </c>
    </row>
    <row r="925" spans="1:7" x14ac:dyDescent="0.2">
      <c r="A925" s="34" t="s">
        <v>75</v>
      </c>
      <c r="B925" s="34" t="s">
        <v>221</v>
      </c>
      <c r="C925" s="34" t="s">
        <v>223</v>
      </c>
      <c r="D925" s="34" t="s">
        <v>224</v>
      </c>
      <c r="E925" s="32">
        <v>30</v>
      </c>
      <c r="F925" s="34" t="s">
        <v>151</v>
      </c>
      <c r="G925" s="35">
        <v>3.0000000000000001E-3</v>
      </c>
    </row>
    <row r="926" spans="1:7" x14ac:dyDescent="0.2">
      <c r="A926" s="34" t="s">
        <v>52</v>
      </c>
      <c r="B926" s="34" t="s">
        <v>52</v>
      </c>
      <c r="C926" s="34" t="s">
        <v>65</v>
      </c>
      <c r="D926" s="34" t="s">
        <v>237</v>
      </c>
      <c r="E926" s="32">
        <v>30</v>
      </c>
      <c r="F926" s="34" t="s">
        <v>151</v>
      </c>
      <c r="G926" s="35">
        <v>5.0000000000000001E-4</v>
      </c>
    </row>
    <row r="927" spans="1:7" x14ac:dyDescent="0.2">
      <c r="A927" s="34" t="s">
        <v>52</v>
      </c>
      <c r="B927" s="34" t="s">
        <v>52</v>
      </c>
      <c r="C927" s="34" t="s">
        <v>65</v>
      </c>
      <c r="D927" s="34" t="s">
        <v>238</v>
      </c>
      <c r="E927" s="32">
        <v>30</v>
      </c>
      <c r="F927" s="34" t="s">
        <v>151</v>
      </c>
      <c r="G927" s="35">
        <v>5.0000000000000001E-4</v>
      </c>
    </row>
    <row r="928" spans="1:7" x14ac:dyDescent="0.2">
      <c r="A928" s="34" t="s">
        <v>52</v>
      </c>
      <c r="B928" s="34" t="s">
        <v>52</v>
      </c>
      <c r="C928" s="34" t="s">
        <v>65</v>
      </c>
      <c r="D928" s="34" t="s">
        <v>239</v>
      </c>
      <c r="E928" s="32">
        <v>30</v>
      </c>
      <c r="F928" s="34" t="s">
        <v>151</v>
      </c>
      <c r="G928" s="35">
        <v>5.0000000000000001E-4</v>
      </c>
    </row>
    <row r="929" spans="1:7" x14ac:dyDescent="0.2">
      <c r="A929" s="34" t="s">
        <v>52</v>
      </c>
      <c r="B929" s="34" t="s">
        <v>52</v>
      </c>
      <c r="C929" s="34" t="s">
        <v>65</v>
      </c>
      <c r="D929" s="34" t="s">
        <v>240</v>
      </c>
      <c r="E929" s="32">
        <v>30</v>
      </c>
      <c r="F929" s="34" t="s">
        <v>151</v>
      </c>
      <c r="G929" s="35">
        <v>5.0000000000000001E-4</v>
      </c>
    </row>
    <row r="930" spans="1:7" x14ac:dyDescent="0.2">
      <c r="A930" s="34" t="s">
        <v>52</v>
      </c>
      <c r="B930" s="34" t="s">
        <v>52</v>
      </c>
      <c r="C930" s="34" t="s">
        <v>65</v>
      </c>
      <c r="D930" s="34" t="s">
        <v>245</v>
      </c>
      <c r="E930" s="32">
        <v>30</v>
      </c>
      <c r="F930" s="34" t="s">
        <v>151</v>
      </c>
      <c r="G930" s="35">
        <v>5.0000000000000001E-4</v>
      </c>
    </row>
    <row r="931" spans="1:7" x14ac:dyDescent="0.2">
      <c r="A931" s="34" t="s">
        <v>52</v>
      </c>
      <c r="B931" s="34" t="s">
        <v>52</v>
      </c>
      <c r="C931" s="34" t="s">
        <v>223</v>
      </c>
      <c r="D931" s="34" t="s">
        <v>241</v>
      </c>
      <c r="E931" s="32">
        <v>30</v>
      </c>
      <c r="F931" s="34" t="s">
        <v>151</v>
      </c>
      <c r="G931" s="35">
        <v>3.0000000000000001E-3</v>
      </c>
    </row>
    <row r="932" spans="1:7" x14ac:dyDescent="0.2">
      <c r="A932" s="34" t="s">
        <v>52</v>
      </c>
      <c r="B932" s="34" t="s">
        <v>52</v>
      </c>
      <c r="C932" s="34" t="s">
        <v>223</v>
      </c>
      <c r="D932" s="34" t="s">
        <v>246</v>
      </c>
      <c r="E932" s="32">
        <v>30</v>
      </c>
      <c r="F932" s="34" t="s">
        <v>151</v>
      </c>
      <c r="G932" s="35">
        <v>3.0000000000000001E-3</v>
      </c>
    </row>
    <row r="933" spans="1:7" x14ac:dyDescent="0.2">
      <c r="A933" s="34" t="s">
        <v>52</v>
      </c>
      <c r="B933" s="34" t="s">
        <v>52</v>
      </c>
      <c r="C933" s="34" t="s">
        <v>223</v>
      </c>
      <c r="D933" s="34" t="s">
        <v>242</v>
      </c>
      <c r="E933" s="32">
        <v>30</v>
      </c>
      <c r="F933" s="34" t="s">
        <v>151</v>
      </c>
      <c r="G933" s="35">
        <v>3.0000000000000001E-3</v>
      </c>
    </row>
    <row r="934" spans="1:7" x14ac:dyDescent="0.2">
      <c r="A934" s="34" t="s">
        <v>52</v>
      </c>
      <c r="B934" s="34" t="s">
        <v>52</v>
      </c>
      <c r="C934" s="34" t="s">
        <v>223</v>
      </c>
      <c r="D934" s="34" t="s">
        <v>243</v>
      </c>
      <c r="E934" s="32">
        <v>30</v>
      </c>
      <c r="F934" s="34" t="s">
        <v>151</v>
      </c>
      <c r="G934" s="35">
        <v>3.0000000000000001E-3</v>
      </c>
    </row>
    <row r="935" spans="1:7" x14ac:dyDescent="0.2">
      <c r="A935" s="34" t="s">
        <v>52</v>
      </c>
      <c r="B935" s="34" t="s">
        <v>52</v>
      </c>
      <c r="C935" s="34" t="s">
        <v>223</v>
      </c>
      <c r="D935" s="34" t="s">
        <v>244</v>
      </c>
      <c r="E935" s="32">
        <v>30</v>
      </c>
      <c r="F935" s="34" t="s">
        <v>151</v>
      </c>
      <c r="G935" s="35">
        <v>3.0000000000000001E-3</v>
      </c>
    </row>
    <row r="936" spans="1:7" x14ac:dyDescent="0.2">
      <c r="A936" s="34" t="s">
        <v>52</v>
      </c>
      <c r="B936" s="34" t="s">
        <v>221</v>
      </c>
      <c r="C936" s="34" t="s">
        <v>65</v>
      </c>
      <c r="D936" s="34" t="s">
        <v>225</v>
      </c>
      <c r="E936" s="32">
        <v>30</v>
      </c>
      <c r="F936" s="34" t="s">
        <v>151</v>
      </c>
      <c r="G936" s="35">
        <v>5.0000000000000001E-4</v>
      </c>
    </row>
    <row r="937" spans="1:7" x14ac:dyDescent="0.2">
      <c r="A937" s="34" t="s">
        <v>52</v>
      </c>
      <c r="B937" s="34" t="s">
        <v>221</v>
      </c>
      <c r="C937" s="34" t="s">
        <v>223</v>
      </c>
      <c r="D937" s="34" t="s">
        <v>226</v>
      </c>
      <c r="E937" s="32">
        <v>30</v>
      </c>
      <c r="F937" s="34" t="s">
        <v>151</v>
      </c>
      <c r="G937" s="35">
        <v>3.0000000000000001E-3</v>
      </c>
    </row>
    <row r="938" spans="1:7" x14ac:dyDescent="0.2">
      <c r="A938" s="34" t="s">
        <v>75</v>
      </c>
      <c r="B938" s="34" t="s">
        <v>75</v>
      </c>
      <c r="C938" s="34" t="s">
        <v>65</v>
      </c>
      <c r="D938" s="34" t="s">
        <v>233</v>
      </c>
      <c r="E938" s="32">
        <v>31</v>
      </c>
      <c r="F938" s="34" t="s">
        <v>151</v>
      </c>
      <c r="G938" s="33">
        <v>7.529374610000002E-3</v>
      </c>
    </row>
    <row r="939" spans="1:7" x14ac:dyDescent="0.2">
      <c r="A939" s="34" t="s">
        <v>75</v>
      </c>
      <c r="B939" s="34" t="s">
        <v>75</v>
      </c>
      <c r="C939" s="34" t="s">
        <v>65</v>
      </c>
      <c r="D939" s="34" t="s">
        <v>227</v>
      </c>
      <c r="E939" s="32">
        <v>31</v>
      </c>
      <c r="F939" s="34" t="s">
        <v>151</v>
      </c>
      <c r="G939" s="32">
        <v>6.5037110099999997E-3</v>
      </c>
    </row>
    <row r="940" spans="1:7" x14ac:dyDescent="0.2">
      <c r="A940" s="34" t="s">
        <v>75</v>
      </c>
      <c r="B940" s="34" t="s">
        <v>75</v>
      </c>
      <c r="C940" s="34" t="s">
        <v>65</v>
      </c>
      <c r="D940" s="34" t="s">
        <v>228</v>
      </c>
      <c r="E940" s="32">
        <v>31</v>
      </c>
      <c r="F940" s="34" t="s">
        <v>151</v>
      </c>
      <c r="G940" s="32">
        <v>6.1617250099999989E-3</v>
      </c>
    </row>
    <row r="941" spans="1:7" x14ac:dyDescent="0.2">
      <c r="A941" s="34" t="s">
        <v>75</v>
      </c>
      <c r="B941" s="34" t="s">
        <v>75</v>
      </c>
      <c r="C941" s="34" t="s">
        <v>65</v>
      </c>
      <c r="D941" s="34" t="s">
        <v>229</v>
      </c>
      <c r="E941" s="32">
        <v>31</v>
      </c>
      <c r="F941" s="34" t="s">
        <v>151</v>
      </c>
      <c r="G941" s="32">
        <v>5.5180502100000018E-3</v>
      </c>
    </row>
    <row r="942" spans="1:7" x14ac:dyDescent="0.2">
      <c r="A942" s="34" t="s">
        <v>75</v>
      </c>
      <c r="B942" s="34" t="s">
        <v>75</v>
      </c>
      <c r="C942" s="34" t="s">
        <v>65</v>
      </c>
      <c r="D942" s="34" t="s">
        <v>234</v>
      </c>
      <c r="E942" s="32">
        <v>31</v>
      </c>
      <c r="F942" s="34" t="s">
        <v>151</v>
      </c>
      <c r="G942" s="32">
        <v>5.7175186100000015E-3</v>
      </c>
    </row>
    <row r="943" spans="1:7" x14ac:dyDescent="0.2">
      <c r="A943" s="34" t="s">
        <v>75</v>
      </c>
      <c r="B943" s="34" t="s">
        <v>75</v>
      </c>
      <c r="C943" s="34" t="s">
        <v>223</v>
      </c>
      <c r="D943" s="34" t="s">
        <v>230</v>
      </c>
      <c r="E943" s="32">
        <v>31</v>
      </c>
      <c r="F943" s="34" t="s">
        <v>151</v>
      </c>
      <c r="G943" s="32">
        <v>4.8999906100000018E-3</v>
      </c>
    </row>
    <row r="944" spans="1:7" x14ac:dyDescent="0.2">
      <c r="A944" s="34" t="s">
        <v>75</v>
      </c>
      <c r="B944" s="34" t="s">
        <v>75</v>
      </c>
      <c r="C944" s="34" t="s">
        <v>223</v>
      </c>
      <c r="D944" s="34" t="s">
        <v>231</v>
      </c>
      <c r="E944" s="32">
        <v>31</v>
      </c>
      <c r="F944" s="34" t="s">
        <v>151</v>
      </c>
      <c r="G944" s="32">
        <v>1.3947005010000001E-2</v>
      </c>
    </row>
    <row r="945" spans="1:7" x14ac:dyDescent="0.2">
      <c r="A945" s="34" t="s">
        <v>75</v>
      </c>
      <c r="B945" s="34" t="s">
        <v>75</v>
      </c>
      <c r="C945" s="34" t="s">
        <v>223</v>
      </c>
      <c r="D945" s="34" t="s">
        <v>235</v>
      </c>
      <c r="E945" s="32">
        <v>31</v>
      </c>
      <c r="F945" s="34" t="s">
        <v>151</v>
      </c>
      <c r="G945" s="32">
        <v>3.1911890099999996E-3</v>
      </c>
    </row>
    <row r="946" spans="1:7" x14ac:dyDescent="0.2">
      <c r="A946" s="34" t="s">
        <v>75</v>
      </c>
      <c r="B946" s="34" t="s">
        <v>75</v>
      </c>
      <c r="C946" s="34" t="s">
        <v>223</v>
      </c>
      <c r="D946" s="34" t="s">
        <v>232</v>
      </c>
      <c r="E946" s="32">
        <v>31</v>
      </c>
      <c r="F946" s="34" t="s">
        <v>151</v>
      </c>
      <c r="G946" s="32">
        <v>4.248329410000003E-3</v>
      </c>
    </row>
    <row r="947" spans="1:7" x14ac:dyDescent="0.2">
      <c r="A947" s="34" t="s">
        <v>75</v>
      </c>
      <c r="B947" s="34" t="s">
        <v>75</v>
      </c>
      <c r="C947" s="34" t="s">
        <v>223</v>
      </c>
      <c r="D947" s="34" t="s">
        <v>236</v>
      </c>
      <c r="E947" s="32">
        <v>31</v>
      </c>
      <c r="F947" s="34" t="s">
        <v>151</v>
      </c>
      <c r="G947" s="32">
        <v>8.5390510100000015E-3</v>
      </c>
    </row>
    <row r="948" spans="1:7" x14ac:dyDescent="0.2">
      <c r="A948" s="34" t="s">
        <v>75</v>
      </c>
      <c r="B948" s="34" t="s">
        <v>221</v>
      </c>
      <c r="C948" s="34" t="s">
        <v>65</v>
      </c>
      <c r="D948" s="34" t="s">
        <v>222</v>
      </c>
      <c r="E948" s="32">
        <v>31</v>
      </c>
      <c r="F948" s="34" t="s">
        <v>151</v>
      </c>
      <c r="G948" s="32">
        <v>3.5751706100000027E-3</v>
      </c>
    </row>
    <row r="949" spans="1:7" x14ac:dyDescent="0.2">
      <c r="A949" s="34" t="s">
        <v>75</v>
      </c>
      <c r="B949" s="34" t="s">
        <v>221</v>
      </c>
      <c r="C949" s="34" t="s">
        <v>223</v>
      </c>
      <c r="D949" s="34" t="s">
        <v>224</v>
      </c>
      <c r="E949" s="32">
        <v>31</v>
      </c>
      <c r="F949" s="34" t="s">
        <v>151</v>
      </c>
      <c r="G949" s="32">
        <v>8.8547158100000002E-3</v>
      </c>
    </row>
    <row r="950" spans="1:7" x14ac:dyDescent="0.2">
      <c r="A950" s="34" t="s">
        <v>52</v>
      </c>
      <c r="B950" s="34" t="s">
        <v>52</v>
      </c>
      <c r="C950" s="34" t="s">
        <v>65</v>
      </c>
      <c r="D950" s="34" t="s">
        <v>237</v>
      </c>
      <c r="E950" s="32">
        <v>31</v>
      </c>
      <c r="F950" s="34" t="s">
        <v>151</v>
      </c>
      <c r="G950" s="32">
        <v>3.8307896299999977E-3</v>
      </c>
    </row>
    <row r="951" spans="1:7" x14ac:dyDescent="0.2">
      <c r="A951" s="34" t="s">
        <v>52</v>
      </c>
      <c r="B951" s="34" t="s">
        <v>52</v>
      </c>
      <c r="C951" s="34" t="s">
        <v>65</v>
      </c>
      <c r="D951" s="34" t="s">
        <v>238</v>
      </c>
      <c r="E951" s="32">
        <v>31</v>
      </c>
      <c r="F951" s="34" t="s">
        <v>151</v>
      </c>
      <c r="G951" s="32">
        <v>4.2146648299999992E-3</v>
      </c>
    </row>
    <row r="952" spans="1:7" x14ac:dyDescent="0.2">
      <c r="A952" s="34" t="s">
        <v>52</v>
      </c>
      <c r="B952" s="34" t="s">
        <v>52</v>
      </c>
      <c r="C952" s="34" t="s">
        <v>65</v>
      </c>
      <c r="D952" s="34" t="s">
        <v>239</v>
      </c>
      <c r="E952" s="32">
        <v>31</v>
      </c>
      <c r="F952" s="34" t="s">
        <v>151</v>
      </c>
      <c r="G952" s="32">
        <v>3.5619133899999975E-3</v>
      </c>
    </row>
    <row r="953" spans="1:7" x14ac:dyDescent="0.2">
      <c r="A953" s="34" t="s">
        <v>52</v>
      </c>
      <c r="B953" s="34" t="s">
        <v>52</v>
      </c>
      <c r="C953" s="34" t="s">
        <v>65</v>
      </c>
      <c r="D953" s="34" t="s">
        <v>240</v>
      </c>
      <c r="E953" s="32">
        <v>31</v>
      </c>
      <c r="F953" s="34" t="s">
        <v>151</v>
      </c>
      <c r="G953" s="32">
        <v>5.5684336300000029E-3</v>
      </c>
    </row>
    <row r="954" spans="1:7" x14ac:dyDescent="0.2">
      <c r="A954" s="34" t="s">
        <v>52</v>
      </c>
      <c r="B954" s="34" t="s">
        <v>52</v>
      </c>
      <c r="C954" s="34" t="s">
        <v>65</v>
      </c>
      <c r="D954" s="34" t="s">
        <v>245</v>
      </c>
      <c r="E954" s="32">
        <v>31</v>
      </c>
      <c r="F954" s="34" t="s">
        <v>151</v>
      </c>
      <c r="G954" s="32">
        <v>6.0028775100000008E-3</v>
      </c>
    </row>
    <row r="955" spans="1:7" x14ac:dyDescent="0.2">
      <c r="A955" s="34" t="s">
        <v>52</v>
      </c>
      <c r="B955" s="34" t="s">
        <v>52</v>
      </c>
      <c r="C955" s="34" t="s">
        <v>223</v>
      </c>
      <c r="D955" s="34" t="s">
        <v>241</v>
      </c>
      <c r="E955" s="32">
        <v>31</v>
      </c>
      <c r="F955" s="34" t="s">
        <v>151</v>
      </c>
      <c r="G955" s="32">
        <v>7.9778400299999989E-3</v>
      </c>
    </row>
    <row r="956" spans="1:7" x14ac:dyDescent="0.2">
      <c r="A956" s="34" t="s">
        <v>52</v>
      </c>
      <c r="B956" s="34" t="s">
        <v>52</v>
      </c>
      <c r="C956" s="34" t="s">
        <v>223</v>
      </c>
      <c r="D956" s="34" t="s">
        <v>246</v>
      </c>
      <c r="E956" s="32">
        <v>31</v>
      </c>
      <c r="F956" s="34" t="s">
        <v>151</v>
      </c>
      <c r="G956" s="32">
        <v>7.1249252299999989E-3</v>
      </c>
    </row>
    <row r="957" spans="1:7" x14ac:dyDescent="0.2">
      <c r="A957" s="34" t="s">
        <v>52</v>
      </c>
      <c r="B957" s="34" t="s">
        <v>52</v>
      </c>
      <c r="C957" s="34" t="s">
        <v>223</v>
      </c>
      <c r="D957" s="34" t="s">
        <v>242</v>
      </c>
      <c r="E957" s="32">
        <v>31</v>
      </c>
      <c r="F957" s="34" t="s">
        <v>151</v>
      </c>
      <c r="G957" s="32">
        <v>1.1723575629999997E-2</v>
      </c>
    </row>
    <row r="958" spans="1:7" x14ac:dyDescent="0.2">
      <c r="A958" s="34" t="s">
        <v>52</v>
      </c>
      <c r="B958" s="34" t="s">
        <v>52</v>
      </c>
      <c r="C958" s="34" t="s">
        <v>223</v>
      </c>
      <c r="D958" s="34" t="s">
        <v>243</v>
      </c>
      <c r="E958" s="32">
        <v>31</v>
      </c>
      <c r="F958" s="34" t="s">
        <v>151</v>
      </c>
      <c r="G958" s="32">
        <v>1.0470176829999999E-2</v>
      </c>
    </row>
    <row r="959" spans="1:7" x14ac:dyDescent="0.2">
      <c r="A959" s="34" t="s">
        <v>52</v>
      </c>
      <c r="B959" s="34" t="s">
        <v>52</v>
      </c>
      <c r="C959" s="34" t="s">
        <v>223</v>
      </c>
      <c r="D959" s="34" t="s">
        <v>244</v>
      </c>
      <c r="E959" s="32">
        <v>31</v>
      </c>
      <c r="F959" s="34" t="s">
        <v>151</v>
      </c>
      <c r="G959" s="32">
        <v>4.5103348300000005E-3</v>
      </c>
    </row>
    <row r="960" spans="1:7" x14ac:dyDescent="0.2">
      <c r="A960" s="34" t="s">
        <v>52</v>
      </c>
      <c r="B960" s="34" t="s">
        <v>221</v>
      </c>
      <c r="C960" s="34" t="s">
        <v>65</v>
      </c>
      <c r="D960" s="34" t="s">
        <v>225</v>
      </c>
      <c r="E960" s="32">
        <v>31</v>
      </c>
      <c r="F960" s="34" t="s">
        <v>151</v>
      </c>
      <c r="G960" s="32">
        <v>4.8172828300000019E-3</v>
      </c>
    </row>
    <row r="961" spans="1:7" x14ac:dyDescent="0.2">
      <c r="A961" s="34" t="s">
        <v>52</v>
      </c>
      <c r="B961" s="34" t="s">
        <v>221</v>
      </c>
      <c r="C961" s="34" t="s">
        <v>223</v>
      </c>
      <c r="D961" s="34" t="s">
        <v>226</v>
      </c>
      <c r="E961" s="32">
        <v>31</v>
      </c>
      <c r="F961" s="34" t="s">
        <v>151</v>
      </c>
      <c r="G961" s="32">
        <v>4.8872800299999998E-3</v>
      </c>
    </row>
    <row r="962" spans="1:7" x14ac:dyDescent="0.2">
      <c r="A962" s="34" t="s">
        <v>75</v>
      </c>
      <c r="B962" s="34" t="s">
        <v>75</v>
      </c>
      <c r="C962" s="34" t="s">
        <v>65</v>
      </c>
      <c r="D962" s="34" t="s">
        <v>233</v>
      </c>
      <c r="E962" s="32">
        <v>32</v>
      </c>
      <c r="F962" s="34" t="s">
        <v>151</v>
      </c>
      <c r="G962" s="32">
        <v>1.15043918E-2</v>
      </c>
    </row>
    <row r="963" spans="1:7" x14ac:dyDescent="0.2">
      <c r="A963" s="34" t="s">
        <v>75</v>
      </c>
      <c r="B963" s="34" t="s">
        <v>75</v>
      </c>
      <c r="C963" s="34" t="s">
        <v>65</v>
      </c>
      <c r="D963" s="34" t="s">
        <v>227</v>
      </c>
      <c r="E963" s="32">
        <v>32</v>
      </c>
      <c r="F963" s="34" t="s">
        <v>151</v>
      </c>
      <c r="G963" s="32">
        <v>1.5208176600000005E-2</v>
      </c>
    </row>
    <row r="964" spans="1:7" x14ac:dyDescent="0.2">
      <c r="A964" s="34" t="s">
        <v>75</v>
      </c>
      <c r="B964" s="34" t="s">
        <v>75</v>
      </c>
      <c r="C964" s="34" t="s">
        <v>65</v>
      </c>
      <c r="D964" s="34" t="s">
        <v>228</v>
      </c>
      <c r="E964" s="32">
        <v>32</v>
      </c>
      <c r="F964" s="34" t="s">
        <v>151</v>
      </c>
      <c r="G964" s="32">
        <v>1.9632284599999997E-2</v>
      </c>
    </row>
    <row r="965" spans="1:7" x14ac:dyDescent="0.2">
      <c r="A965" s="34" t="s">
        <v>75</v>
      </c>
      <c r="B965" s="34" t="s">
        <v>75</v>
      </c>
      <c r="C965" s="34" t="s">
        <v>65</v>
      </c>
      <c r="D965" s="34" t="s">
        <v>229</v>
      </c>
      <c r="E965" s="32">
        <v>32</v>
      </c>
      <c r="F965" s="34" t="s">
        <v>151</v>
      </c>
      <c r="G965" s="32">
        <v>1.72185966E-2</v>
      </c>
    </row>
    <row r="966" spans="1:7" x14ac:dyDescent="0.2">
      <c r="A966" s="34" t="s">
        <v>75</v>
      </c>
      <c r="B966" s="34" t="s">
        <v>75</v>
      </c>
      <c r="C966" s="34" t="s">
        <v>65</v>
      </c>
      <c r="D966" s="34" t="s">
        <v>234</v>
      </c>
      <c r="E966" s="32">
        <v>32</v>
      </c>
      <c r="F966" s="34" t="s">
        <v>151</v>
      </c>
      <c r="G966" s="32">
        <v>2.0349952600000002E-2</v>
      </c>
    </row>
    <row r="967" spans="1:7" x14ac:dyDescent="0.2">
      <c r="A967" s="34" t="s">
        <v>75</v>
      </c>
      <c r="B967" s="34" t="s">
        <v>75</v>
      </c>
      <c r="C967" s="34" t="s">
        <v>223</v>
      </c>
      <c r="D967" s="34" t="s">
        <v>230</v>
      </c>
      <c r="E967" s="32">
        <v>32</v>
      </c>
      <c r="F967" s="34" t="s">
        <v>151</v>
      </c>
      <c r="G967" s="32">
        <v>6.7086250000000036E-3</v>
      </c>
    </row>
    <row r="968" spans="1:7" x14ac:dyDescent="0.2">
      <c r="A968" s="34" t="s">
        <v>75</v>
      </c>
      <c r="B968" s="34" t="s">
        <v>75</v>
      </c>
      <c r="C968" s="34" t="s">
        <v>223</v>
      </c>
      <c r="D968" s="34" t="s">
        <v>231</v>
      </c>
      <c r="E968" s="32">
        <v>32</v>
      </c>
      <c r="F968" s="34" t="s">
        <v>151</v>
      </c>
      <c r="G968" s="32">
        <v>1.9608724599999999E-2</v>
      </c>
    </row>
    <row r="969" spans="1:7" x14ac:dyDescent="0.2">
      <c r="A969" s="34" t="s">
        <v>75</v>
      </c>
      <c r="B969" s="34" t="s">
        <v>75</v>
      </c>
      <c r="C969" s="34" t="s">
        <v>223</v>
      </c>
      <c r="D969" s="34" t="s">
        <v>235</v>
      </c>
      <c r="E969" s="32">
        <v>32</v>
      </c>
      <c r="F969" s="34" t="s">
        <v>151</v>
      </c>
      <c r="G969" s="32">
        <v>4.7020730000000019E-3</v>
      </c>
    </row>
    <row r="970" spans="1:7" x14ac:dyDescent="0.2">
      <c r="A970" s="34" t="s">
        <v>75</v>
      </c>
      <c r="B970" s="34" t="s">
        <v>75</v>
      </c>
      <c r="C970" s="34" t="s">
        <v>223</v>
      </c>
      <c r="D970" s="34" t="s">
        <v>232</v>
      </c>
      <c r="E970" s="32">
        <v>32</v>
      </c>
      <c r="F970" s="34" t="s">
        <v>151</v>
      </c>
      <c r="G970" s="32">
        <v>1.20980246E-2</v>
      </c>
    </row>
    <row r="971" spans="1:7" x14ac:dyDescent="0.2">
      <c r="A971" s="34" t="s">
        <v>75</v>
      </c>
      <c r="B971" s="34" t="s">
        <v>75</v>
      </c>
      <c r="C971" s="34" t="s">
        <v>223</v>
      </c>
      <c r="D971" s="34" t="s">
        <v>236</v>
      </c>
      <c r="E971" s="32">
        <v>32</v>
      </c>
      <c r="F971" s="34" t="s">
        <v>151</v>
      </c>
      <c r="G971" s="32">
        <v>1.14297046E-2</v>
      </c>
    </row>
    <row r="972" spans="1:7" x14ac:dyDescent="0.2">
      <c r="A972" s="34" t="s">
        <v>75</v>
      </c>
      <c r="B972" s="34" t="s">
        <v>221</v>
      </c>
      <c r="C972" s="34" t="s">
        <v>65</v>
      </c>
      <c r="D972" s="34" t="s">
        <v>222</v>
      </c>
      <c r="E972" s="32">
        <v>32</v>
      </c>
      <c r="F972" s="34" t="s">
        <v>151</v>
      </c>
      <c r="G972" s="32">
        <v>1.0544632999999998E-2</v>
      </c>
    </row>
    <row r="973" spans="1:7" x14ac:dyDescent="0.2">
      <c r="A973" s="34" t="s">
        <v>75</v>
      </c>
      <c r="B973" s="34" t="s">
        <v>221</v>
      </c>
      <c r="C973" s="34" t="s">
        <v>223</v>
      </c>
      <c r="D973" s="34" t="s">
        <v>224</v>
      </c>
      <c r="E973" s="32">
        <v>32</v>
      </c>
      <c r="F973" s="34" t="s">
        <v>151</v>
      </c>
      <c r="G973" s="32">
        <v>8.2869325999999979E-3</v>
      </c>
    </row>
    <row r="974" spans="1:7" x14ac:dyDescent="0.2">
      <c r="A974" s="34" t="s">
        <v>52</v>
      </c>
      <c r="B974" s="34" t="s">
        <v>52</v>
      </c>
      <c r="C974" s="34" t="s">
        <v>65</v>
      </c>
      <c r="D974" s="34" t="s">
        <v>237</v>
      </c>
      <c r="E974" s="32">
        <v>32</v>
      </c>
      <c r="F974" s="34" t="s">
        <v>151</v>
      </c>
      <c r="G974" s="32">
        <v>1.6436926559999999E-2</v>
      </c>
    </row>
    <row r="975" spans="1:7" x14ac:dyDescent="0.2">
      <c r="A975" s="34" t="s">
        <v>52</v>
      </c>
      <c r="B975" s="34" t="s">
        <v>52</v>
      </c>
      <c r="C975" s="34" t="s">
        <v>65</v>
      </c>
      <c r="D975" s="34" t="s">
        <v>238</v>
      </c>
      <c r="E975" s="32">
        <v>32</v>
      </c>
      <c r="F975" s="34" t="s">
        <v>151</v>
      </c>
      <c r="G975" s="32">
        <v>2.0047111359999998E-2</v>
      </c>
    </row>
    <row r="976" spans="1:7" x14ac:dyDescent="0.2">
      <c r="A976" s="34" t="s">
        <v>52</v>
      </c>
      <c r="B976" s="34" t="s">
        <v>52</v>
      </c>
      <c r="C976" s="34" t="s">
        <v>65</v>
      </c>
      <c r="D976" s="34" t="s">
        <v>239</v>
      </c>
      <c r="E976" s="32">
        <v>32</v>
      </c>
      <c r="F976" s="34" t="s">
        <v>151</v>
      </c>
      <c r="G976" s="32">
        <v>2.2889123360000003E-2</v>
      </c>
    </row>
    <row r="977" spans="1:7" x14ac:dyDescent="0.2">
      <c r="A977" s="34" t="s">
        <v>52</v>
      </c>
      <c r="B977" s="34" t="s">
        <v>52</v>
      </c>
      <c r="C977" s="34" t="s">
        <v>65</v>
      </c>
      <c r="D977" s="34" t="s">
        <v>240</v>
      </c>
      <c r="E977" s="32">
        <v>32</v>
      </c>
      <c r="F977" s="34" t="s">
        <v>151</v>
      </c>
      <c r="G977" s="32">
        <v>2.6930051359999995E-2</v>
      </c>
    </row>
    <row r="978" spans="1:7" x14ac:dyDescent="0.2">
      <c r="A978" s="34" t="s">
        <v>52</v>
      </c>
      <c r="B978" s="34" t="s">
        <v>52</v>
      </c>
      <c r="C978" s="34" t="s">
        <v>65</v>
      </c>
      <c r="D978" s="34" t="s">
        <v>245</v>
      </c>
      <c r="E978" s="32">
        <v>32</v>
      </c>
      <c r="F978" s="34" t="s">
        <v>151</v>
      </c>
      <c r="G978" s="32">
        <v>3.4362507360000002E-2</v>
      </c>
    </row>
    <row r="979" spans="1:7" x14ac:dyDescent="0.2">
      <c r="A979" s="34" t="s">
        <v>52</v>
      </c>
      <c r="B979" s="34" t="s">
        <v>52</v>
      </c>
      <c r="C979" s="34" t="s">
        <v>223</v>
      </c>
      <c r="D979" s="34" t="s">
        <v>241</v>
      </c>
      <c r="E979" s="32">
        <v>32</v>
      </c>
      <c r="F979" s="34" t="s">
        <v>151</v>
      </c>
      <c r="G979" s="32">
        <v>2.3745671360000001E-2</v>
      </c>
    </row>
    <row r="980" spans="1:7" x14ac:dyDescent="0.2">
      <c r="A980" s="34" t="s">
        <v>52</v>
      </c>
      <c r="B980" s="34" t="s">
        <v>52</v>
      </c>
      <c r="C980" s="34" t="s">
        <v>223</v>
      </c>
      <c r="D980" s="34" t="s">
        <v>246</v>
      </c>
      <c r="E980" s="32">
        <v>32</v>
      </c>
      <c r="F980" s="34" t="s">
        <v>151</v>
      </c>
      <c r="G980" s="32">
        <v>1.6236599359999999E-2</v>
      </c>
    </row>
    <row r="981" spans="1:7" x14ac:dyDescent="0.2">
      <c r="A981" s="34" t="s">
        <v>52</v>
      </c>
      <c r="B981" s="34" t="s">
        <v>52</v>
      </c>
      <c r="C981" s="34" t="s">
        <v>223</v>
      </c>
      <c r="D981" s="34" t="s">
        <v>242</v>
      </c>
      <c r="E981" s="32">
        <v>32</v>
      </c>
      <c r="F981" s="34" t="s">
        <v>151</v>
      </c>
      <c r="G981" s="32">
        <v>3.5388551359999999E-2</v>
      </c>
    </row>
    <row r="982" spans="1:7" x14ac:dyDescent="0.2">
      <c r="A982" s="34" t="s">
        <v>52</v>
      </c>
      <c r="B982" s="34" t="s">
        <v>52</v>
      </c>
      <c r="C982" s="34" t="s">
        <v>223</v>
      </c>
      <c r="D982" s="34" t="s">
        <v>243</v>
      </c>
      <c r="E982" s="32">
        <v>32</v>
      </c>
      <c r="F982" s="34" t="s">
        <v>151</v>
      </c>
      <c r="G982" s="32">
        <v>3.1260203360000009E-2</v>
      </c>
    </row>
    <row r="983" spans="1:7" x14ac:dyDescent="0.2">
      <c r="A983" s="34" t="s">
        <v>52</v>
      </c>
      <c r="B983" s="34" t="s">
        <v>52</v>
      </c>
      <c r="C983" s="34" t="s">
        <v>223</v>
      </c>
      <c r="D983" s="34" t="s">
        <v>244</v>
      </c>
      <c r="E983" s="32">
        <v>32</v>
      </c>
      <c r="F983" s="34" t="s">
        <v>151</v>
      </c>
      <c r="G983" s="32">
        <v>1.1651011360000001E-2</v>
      </c>
    </row>
    <row r="984" spans="1:7" x14ac:dyDescent="0.2">
      <c r="A984" s="34" t="s">
        <v>52</v>
      </c>
      <c r="B984" s="34" t="s">
        <v>221</v>
      </c>
      <c r="C984" s="34" t="s">
        <v>65</v>
      </c>
      <c r="D984" s="34" t="s">
        <v>225</v>
      </c>
      <c r="E984" s="32">
        <v>32</v>
      </c>
      <c r="F984" s="34" t="s">
        <v>151</v>
      </c>
      <c r="G984" s="32">
        <v>1.5609915359999997E-2</v>
      </c>
    </row>
    <row r="985" spans="1:7" x14ac:dyDescent="0.2">
      <c r="A985" s="34" t="s">
        <v>52</v>
      </c>
      <c r="B985" s="34" t="s">
        <v>221</v>
      </c>
      <c r="C985" s="34" t="s">
        <v>223</v>
      </c>
      <c r="D985" s="34" t="s">
        <v>226</v>
      </c>
      <c r="E985" s="32">
        <v>32</v>
      </c>
      <c r="F985" s="34" t="s">
        <v>151</v>
      </c>
      <c r="G985" s="32">
        <v>1.8199423359999998E-2</v>
      </c>
    </row>
    <row r="986" spans="1:7" x14ac:dyDescent="0.2">
      <c r="A986" s="34" t="s">
        <v>75</v>
      </c>
      <c r="B986" s="34" t="s">
        <v>75</v>
      </c>
      <c r="C986" s="34" t="s">
        <v>65</v>
      </c>
      <c r="D986" s="34" t="s">
        <v>233</v>
      </c>
      <c r="E986" s="32">
        <v>33</v>
      </c>
      <c r="F986" s="34" t="s">
        <v>151</v>
      </c>
      <c r="G986" s="35">
        <v>0.10185197817000001</v>
      </c>
    </row>
    <row r="987" spans="1:7" x14ac:dyDescent="0.2">
      <c r="A987" s="34" t="s">
        <v>75</v>
      </c>
      <c r="B987" s="34" t="s">
        <v>75</v>
      </c>
      <c r="C987" s="34" t="s">
        <v>65</v>
      </c>
      <c r="D987" s="34" t="s">
        <v>227</v>
      </c>
      <c r="E987" s="32">
        <v>33</v>
      </c>
      <c r="F987" s="34" t="s">
        <v>151</v>
      </c>
      <c r="G987" s="35">
        <v>0.13181001417000002</v>
      </c>
    </row>
    <row r="988" spans="1:7" x14ac:dyDescent="0.2">
      <c r="A988" s="34" t="s">
        <v>75</v>
      </c>
      <c r="B988" s="34" t="s">
        <v>75</v>
      </c>
      <c r="C988" s="34" t="s">
        <v>65</v>
      </c>
      <c r="D988" s="34" t="s">
        <v>228</v>
      </c>
      <c r="E988" s="32">
        <v>33</v>
      </c>
      <c r="F988" s="34" t="s">
        <v>151</v>
      </c>
      <c r="G988" s="35">
        <v>0.14015708617</v>
      </c>
    </row>
    <row r="989" spans="1:7" x14ac:dyDescent="0.2">
      <c r="A989" s="34" t="s">
        <v>75</v>
      </c>
      <c r="B989" s="34" t="s">
        <v>75</v>
      </c>
      <c r="C989" s="34" t="s">
        <v>65</v>
      </c>
      <c r="D989" s="34" t="s">
        <v>229</v>
      </c>
      <c r="E989" s="32">
        <v>33</v>
      </c>
      <c r="F989" s="34" t="s">
        <v>151</v>
      </c>
      <c r="G989" s="35">
        <v>0.15444417016999998</v>
      </c>
    </row>
    <row r="990" spans="1:7" x14ac:dyDescent="0.2">
      <c r="A990" s="34" t="s">
        <v>75</v>
      </c>
      <c r="B990" s="34" t="s">
        <v>75</v>
      </c>
      <c r="C990" s="34" t="s">
        <v>65</v>
      </c>
      <c r="D990" s="34" t="s">
        <v>234</v>
      </c>
      <c r="E990" s="32">
        <v>33</v>
      </c>
      <c r="F990" s="34" t="s">
        <v>151</v>
      </c>
      <c r="G990" s="35">
        <v>0.16143397417000002</v>
      </c>
    </row>
    <row r="991" spans="1:7" x14ac:dyDescent="0.2">
      <c r="A991" s="34" t="s">
        <v>75</v>
      </c>
      <c r="B991" s="34" t="s">
        <v>75</v>
      </c>
      <c r="C991" s="34" t="s">
        <v>223</v>
      </c>
      <c r="D991" s="34" t="s">
        <v>230</v>
      </c>
      <c r="E991" s="32">
        <v>33</v>
      </c>
      <c r="F991" s="34" t="s">
        <v>151</v>
      </c>
      <c r="G991" s="35">
        <v>3.3815750169999992E-2</v>
      </c>
    </row>
    <row r="992" spans="1:7" x14ac:dyDescent="0.2">
      <c r="A992" s="34" t="s">
        <v>75</v>
      </c>
      <c r="B992" s="34" t="s">
        <v>75</v>
      </c>
      <c r="C992" s="34" t="s">
        <v>223</v>
      </c>
      <c r="D992" s="34" t="s">
        <v>231</v>
      </c>
      <c r="E992" s="32">
        <v>33</v>
      </c>
      <c r="F992" s="34" t="s">
        <v>151</v>
      </c>
      <c r="G992" s="35">
        <v>0.10098062617000002</v>
      </c>
    </row>
    <row r="993" spans="1:7" x14ac:dyDescent="0.2">
      <c r="A993" s="34" t="s">
        <v>75</v>
      </c>
      <c r="B993" s="34" t="s">
        <v>75</v>
      </c>
      <c r="C993" s="34" t="s">
        <v>223</v>
      </c>
      <c r="D993" s="34" t="s">
        <v>235</v>
      </c>
      <c r="E993" s="32">
        <v>33</v>
      </c>
      <c r="F993" s="34" t="s">
        <v>151</v>
      </c>
      <c r="G993" s="35">
        <v>3.3064042169999988E-2</v>
      </c>
    </row>
    <row r="994" spans="1:7" x14ac:dyDescent="0.2">
      <c r="A994" s="34" t="s">
        <v>75</v>
      </c>
      <c r="B994" s="34" t="s">
        <v>75</v>
      </c>
      <c r="C994" s="34" t="s">
        <v>223</v>
      </c>
      <c r="D994" s="34" t="s">
        <v>232</v>
      </c>
      <c r="E994" s="32">
        <v>33</v>
      </c>
      <c r="F994" s="34" t="s">
        <v>151</v>
      </c>
      <c r="G994" s="35">
        <v>6.2257746170000003E-2</v>
      </c>
    </row>
    <row r="995" spans="1:7" x14ac:dyDescent="0.2">
      <c r="A995" s="34" t="s">
        <v>75</v>
      </c>
      <c r="B995" s="34" t="s">
        <v>75</v>
      </c>
      <c r="C995" s="34" t="s">
        <v>223</v>
      </c>
      <c r="D995" s="34" t="s">
        <v>236</v>
      </c>
      <c r="E995" s="32">
        <v>33</v>
      </c>
      <c r="F995" s="34" t="s">
        <v>151</v>
      </c>
      <c r="G995" s="35">
        <v>6.9954586169999985E-2</v>
      </c>
    </row>
    <row r="996" spans="1:7" x14ac:dyDescent="0.2">
      <c r="A996" s="34" t="s">
        <v>75</v>
      </c>
      <c r="B996" s="34" t="s">
        <v>221</v>
      </c>
      <c r="C996" s="34" t="s">
        <v>65</v>
      </c>
      <c r="D996" s="34" t="s">
        <v>222</v>
      </c>
      <c r="E996" s="32">
        <v>33</v>
      </c>
      <c r="F996" s="34" t="s">
        <v>151</v>
      </c>
      <c r="G996" s="35">
        <v>0.13210196217</v>
      </c>
    </row>
    <row r="997" spans="1:7" x14ac:dyDescent="0.2">
      <c r="A997" s="34" t="s">
        <v>75</v>
      </c>
      <c r="B997" s="34" t="s">
        <v>221</v>
      </c>
      <c r="C997" s="34" t="s">
        <v>223</v>
      </c>
      <c r="D997" s="34" t="s">
        <v>224</v>
      </c>
      <c r="E997" s="32">
        <v>33</v>
      </c>
      <c r="F997" s="34" t="s">
        <v>151</v>
      </c>
      <c r="G997" s="35">
        <v>5.0186670170000003E-2</v>
      </c>
    </row>
    <row r="998" spans="1:7" x14ac:dyDescent="0.2">
      <c r="A998" s="34" t="s">
        <v>52</v>
      </c>
      <c r="B998" s="34" t="s">
        <v>52</v>
      </c>
      <c r="C998" s="34" t="s">
        <v>65</v>
      </c>
      <c r="D998" s="34" t="s">
        <v>237</v>
      </c>
      <c r="E998" s="32">
        <v>33</v>
      </c>
      <c r="F998" s="34" t="s">
        <v>151</v>
      </c>
      <c r="G998" s="35">
        <v>0.10649651576900004</v>
      </c>
    </row>
    <row r="999" spans="1:7" x14ac:dyDescent="0.2">
      <c r="A999" s="34" t="s">
        <v>52</v>
      </c>
      <c r="B999" s="34" t="s">
        <v>52</v>
      </c>
      <c r="C999" s="34" t="s">
        <v>65</v>
      </c>
      <c r="D999" s="34" t="s">
        <v>238</v>
      </c>
      <c r="E999" s="32">
        <v>33</v>
      </c>
      <c r="F999" s="34" t="s">
        <v>151</v>
      </c>
      <c r="G999" s="35">
        <v>0.122422319769</v>
      </c>
    </row>
    <row r="1000" spans="1:7" x14ac:dyDescent="0.2">
      <c r="A1000" s="34" t="s">
        <v>52</v>
      </c>
      <c r="B1000" s="34" t="s">
        <v>52</v>
      </c>
      <c r="C1000" s="34" t="s">
        <v>65</v>
      </c>
      <c r="D1000" s="34" t="s">
        <v>239</v>
      </c>
      <c r="E1000" s="32">
        <v>33</v>
      </c>
      <c r="F1000" s="34" t="s">
        <v>151</v>
      </c>
      <c r="G1000" s="35">
        <v>0.11855007176899995</v>
      </c>
    </row>
    <row r="1001" spans="1:7" x14ac:dyDescent="0.2">
      <c r="A1001" s="34" t="s">
        <v>52</v>
      </c>
      <c r="B1001" s="34" t="s">
        <v>52</v>
      </c>
      <c r="C1001" s="34" t="s">
        <v>65</v>
      </c>
      <c r="D1001" s="34" t="s">
        <v>240</v>
      </c>
      <c r="E1001" s="32">
        <v>33</v>
      </c>
      <c r="F1001" s="34" t="s">
        <v>151</v>
      </c>
      <c r="G1001" s="35">
        <v>0.15507738776899996</v>
      </c>
    </row>
    <row r="1002" spans="1:7" x14ac:dyDescent="0.2">
      <c r="A1002" s="34" t="s">
        <v>52</v>
      </c>
      <c r="B1002" s="34" t="s">
        <v>52</v>
      </c>
      <c r="C1002" s="34" t="s">
        <v>65</v>
      </c>
      <c r="D1002" s="34" t="s">
        <v>245</v>
      </c>
      <c r="E1002" s="32">
        <v>33</v>
      </c>
      <c r="F1002" s="34" t="s">
        <v>151</v>
      </c>
      <c r="G1002" s="35">
        <v>0.184227747769</v>
      </c>
    </row>
    <row r="1003" spans="1:7" x14ac:dyDescent="0.2">
      <c r="A1003" s="34" t="s">
        <v>52</v>
      </c>
      <c r="B1003" s="34" t="s">
        <v>52</v>
      </c>
      <c r="C1003" s="34" t="s">
        <v>223</v>
      </c>
      <c r="D1003" s="34" t="s">
        <v>241</v>
      </c>
      <c r="E1003" s="32">
        <v>33</v>
      </c>
      <c r="F1003" s="34" t="s">
        <v>151</v>
      </c>
      <c r="G1003" s="35">
        <v>9.4661203769000002E-2</v>
      </c>
    </row>
    <row r="1004" spans="1:7" x14ac:dyDescent="0.2">
      <c r="A1004" s="34" t="s">
        <v>52</v>
      </c>
      <c r="B1004" s="34" t="s">
        <v>52</v>
      </c>
      <c r="C1004" s="34" t="s">
        <v>223</v>
      </c>
      <c r="D1004" s="34" t="s">
        <v>246</v>
      </c>
      <c r="E1004" s="32">
        <v>33</v>
      </c>
      <c r="F1004" s="34" t="s">
        <v>151</v>
      </c>
      <c r="G1004" s="35">
        <v>6.8374823769000004E-2</v>
      </c>
    </row>
    <row r="1005" spans="1:7" x14ac:dyDescent="0.2">
      <c r="A1005" s="34" t="s">
        <v>52</v>
      </c>
      <c r="B1005" s="34" t="s">
        <v>52</v>
      </c>
      <c r="C1005" s="34" t="s">
        <v>223</v>
      </c>
      <c r="D1005" s="34" t="s">
        <v>242</v>
      </c>
      <c r="E1005" s="32">
        <v>33</v>
      </c>
      <c r="F1005" s="34" t="s">
        <v>151</v>
      </c>
      <c r="G1005" s="35">
        <v>0.142209595769</v>
      </c>
    </row>
    <row r="1006" spans="1:7" x14ac:dyDescent="0.2">
      <c r="A1006" s="34" t="s">
        <v>52</v>
      </c>
      <c r="B1006" s="34" t="s">
        <v>52</v>
      </c>
      <c r="C1006" s="34" t="s">
        <v>223</v>
      </c>
      <c r="D1006" s="34" t="s">
        <v>243</v>
      </c>
      <c r="E1006" s="32">
        <v>33</v>
      </c>
      <c r="F1006" s="34" t="s">
        <v>151</v>
      </c>
      <c r="G1006" s="35">
        <v>9.5070415768999994E-2</v>
      </c>
    </row>
    <row r="1007" spans="1:7" x14ac:dyDescent="0.2">
      <c r="A1007" s="34" t="s">
        <v>52</v>
      </c>
      <c r="B1007" s="34" t="s">
        <v>52</v>
      </c>
      <c r="C1007" s="34" t="s">
        <v>223</v>
      </c>
      <c r="D1007" s="34" t="s">
        <v>244</v>
      </c>
      <c r="E1007" s="32">
        <v>33</v>
      </c>
      <c r="F1007" s="34" t="s">
        <v>151</v>
      </c>
      <c r="G1007" s="35">
        <v>4.7552963769000013E-2</v>
      </c>
    </row>
    <row r="1008" spans="1:7" x14ac:dyDescent="0.2">
      <c r="A1008" s="34" t="s">
        <v>52</v>
      </c>
      <c r="B1008" s="34" t="s">
        <v>221</v>
      </c>
      <c r="C1008" s="34" t="s">
        <v>65</v>
      </c>
      <c r="D1008" s="34" t="s">
        <v>225</v>
      </c>
      <c r="E1008" s="32">
        <v>33</v>
      </c>
      <c r="F1008" s="34" t="s">
        <v>151</v>
      </c>
      <c r="G1008" s="35">
        <v>6.6508375768999983E-2</v>
      </c>
    </row>
    <row r="1009" spans="1:7" x14ac:dyDescent="0.2">
      <c r="A1009" s="34" t="s">
        <v>52</v>
      </c>
      <c r="B1009" s="34" t="s">
        <v>221</v>
      </c>
      <c r="C1009" s="34" t="s">
        <v>223</v>
      </c>
      <c r="D1009" s="34" t="s">
        <v>226</v>
      </c>
      <c r="E1009" s="32">
        <v>33</v>
      </c>
      <c r="F1009" s="34" t="s">
        <v>151</v>
      </c>
      <c r="G1009" s="35">
        <v>6.9817087769000002E-2</v>
      </c>
    </row>
    <row r="1010" spans="1:7" x14ac:dyDescent="0.2">
      <c r="A1010" s="34" t="s">
        <v>75</v>
      </c>
      <c r="B1010" s="34" t="s">
        <v>75</v>
      </c>
      <c r="C1010" s="34" t="s">
        <v>65</v>
      </c>
      <c r="D1010" s="34" t="s">
        <v>233</v>
      </c>
      <c r="E1010" s="32">
        <v>33</v>
      </c>
      <c r="F1010" s="34" t="s">
        <v>151</v>
      </c>
      <c r="G1010" s="35">
        <v>5.0000000000000001E-4</v>
      </c>
    </row>
    <row r="1011" spans="1:7" x14ac:dyDescent="0.2">
      <c r="A1011" s="34" t="s">
        <v>75</v>
      </c>
      <c r="B1011" s="34" t="s">
        <v>75</v>
      </c>
      <c r="C1011" s="34" t="s">
        <v>65</v>
      </c>
      <c r="D1011" s="34" t="s">
        <v>227</v>
      </c>
      <c r="E1011" s="32">
        <v>33</v>
      </c>
      <c r="F1011" s="34" t="s">
        <v>151</v>
      </c>
      <c r="G1011" s="35">
        <v>5.0000000000000001E-4</v>
      </c>
    </row>
    <row r="1012" spans="1:7" x14ac:dyDescent="0.2">
      <c r="A1012" s="34" t="s">
        <v>75</v>
      </c>
      <c r="B1012" s="34" t="s">
        <v>75</v>
      </c>
      <c r="C1012" s="34" t="s">
        <v>65</v>
      </c>
      <c r="D1012" s="34" t="s">
        <v>228</v>
      </c>
      <c r="E1012" s="32">
        <v>33</v>
      </c>
      <c r="F1012" s="34" t="s">
        <v>151</v>
      </c>
      <c r="G1012" s="35">
        <v>5.0000000000000001E-4</v>
      </c>
    </row>
    <row r="1013" spans="1:7" x14ac:dyDescent="0.2">
      <c r="A1013" s="34" t="s">
        <v>75</v>
      </c>
      <c r="B1013" s="34" t="s">
        <v>75</v>
      </c>
      <c r="C1013" s="34" t="s">
        <v>65</v>
      </c>
      <c r="D1013" s="34" t="s">
        <v>229</v>
      </c>
      <c r="E1013" s="32">
        <v>33</v>
      </c>
      <c r="F1013" s="34" t="s">
        <v>151</v>
      </c>
      <c r="G1013" s="35">
        <v>5.0000000000000001E-4</v>
      </c>
    </row>
    <row r="1014" spans="1:7" x14ac:dyDescent="0.2">
      <c r="A1014" s="34" t="s">
        <v>75</v>
      </c>
      <c r="B1014" s="34" t="s">
        <v>75</v>
      </c>
      <c r="C1014" s="34" t="s">
        <v>65</v>
      </c>
      <c r="D1014" s="34" t="s">
        <v>234</v>
      </c>
      <c r="E1014" s="32">
        <v>33</v>
      </c>
      <c r="F1014" s="34" t="s">
        <v>151</v>
      </c>
      <c r="G1014" s="35">
        <v>5.0000000000000001E-4</v>
      </c>
    </row>
    <row r="1015" spans="1:7" x14ac:dyDescent="0.2">
      <c r="A1015" s="34" t="s">
        <v>75</v>
      </c>
      <c r="B1015" s="34" t="s">
        <v>75</v>
      </c>
      <c r="C1015" s="34" t="s">
        <v>223</v>
      </c>
      <c r="D1015" s="34" t="s">
        <v>230</v>
      </c>
      <c r="E1015" s="32">
        <v>33</v>
      </c>
      <c r="F1015" s="34" t="s">
        <v>151</v>
      </c>
      <c r="G1015" s="35">
        <v>3.0000000000000001E-3</v>
      </c>
    </row>
    <row r="1016" spans="1:7" x14ac:dyDescent="0.2">
      <c r="A1016" s="34" t="s">
        <v>75</v>
      </c>
      <c r="B1016" s="34" t="s">
        <v>75</v>
      </c>
      <c r="C1016" s="34" t="s">
        <v>223</v>
      </c>
      <c r="D1016" s="34" t="s">
        <v>231</v>
      </c>
      <c r="E1016" s="32">
        <v>33</v>
      </c>
      <c r="F1016" s="34" t="s">
        <v>151</v>
      </c>
      <c r="G1016" s="35">
        <v>3.0000000000000001E-3</v>
      </c>
    </row>
    <row r="1017" spans="1:7" x14ac:dyDescent="0.2">
      <c r="A1017" s="34" t="s">
        <v>75</v>
      </c>
      <c r="B1017" s="34" t="s">
        <v>75</v>
      </c>
      <c r="C1017" s="34" t="s">
        <v>223</v>
      </c>
      <c r="D1017" s="34" t="s">
        <v>235</v>
      </c>
      <c r="E1017" s="32">
        <v>33</v>
      </c>
      <c r="F1017" s="34" t="s">
        <v>151</v>
      </c>
      <c r="G1017" s="35">
        <v>3.0000000000000001E-3</v>
      </c>
    </row>
    <row r="1018" spans="1:7" x14ac:dyDescent="0.2">
      <c r="A1018" s="34" t="s">
        <v>75</v>
      </c>
      <c r="B1018" s="34" t="s">
        <v>75</v>
      </c>
      <c r="C1018" s="34" t="s">
        <v>223</v>
      </c>
      <c r="D1018" s="34" t="s">
        <v>232</v>
      </c>
      <c r="E1018" s="32">
        <v>33</v>
      </c>
      <c r="F1018" s="34" t="s">
        <v>151</v>
      </c>
      <c r="G1018" s="35">
        <v>3.0000000000000001E-3</v>
      </c>
    </row>
    <row r="1019" spans="1:7" x14ac:dyDescent="0.2">
      <c r="A1019" s="34" t="s">
        <v>75</v>
      </c>
      <c r="B1019" s="34" t="s">
        <v>75</v>
      </c>
      <c r="C1019" s="34" t="s">
        <v>223</v>
      </c>
      <c r="D1019" s="34" t="s">
        <v>236</v>
      </c>
      <c r="E1019" s="32">
        <v>33</v>
      </c>
      <c r="F1019" s="34" t="s">
        <v>151</v>
      </c>
      <c r="G1019" s="35">
        <v>3.0000000000000001E-3</v>
      </c>
    </row>
    <row r="1020" spans="1:7" x14ac:dyDescent="0.2">
      <c r="A1020" s="34" t="s">
        <v>75</v>
      </c>
      <c r="B1020" s="34" t="s">
        <v>221</v>
      </c>
      <c r="C1020" s="34" t="s">
        <v>65</v>
      </c>
      <c r="D1020" s="34" t="s">
        <v>222</v>
      </c>
      <c r="E1020" s="32">
        <v>33</v>
      </c>
      <c r="F1020" s="34" t="s">
        <v>151</v>
      </c>
      <c r="G1020" s="35">
        <v>5.0000000000000001E-4</v>
      </c>
    </row>
    <row r="1021" spans="1:7" x14ac:dyDescent="0.2">
      <c r="A1021" s="34" t="s">
        <v>75</v>
      </c>
      <c r="B1021" s="34" t="s">
        <v>221</v>
      </c>
      <c r="C1021" s="34" t="s">
        <v>223</v>
      </c>
      <c r="D1021" s="34" t="s">
        <v>224</v>
      </c>
      <c r="E1021" s="32">
        <v>33</v>
      </c>
      <c r="F1021" s="34" t="s">
        <v>151</v>
      </c>
      <c r="G1021" s="35">
        <v>3.0000000000000001E-3</v>
      </c>
    </row>
    <row r="1022" spans="1:7" x14ac:dyDescent="0.2">
      <c r="A1022" s="34" t="s">
        <v>52</v>
      </c>
      <c r="B1022" s="34" t="s">
        <v>52</v>
      </c>
      <c r="C1022" s="34" t="s">
        <v>65</v>
      </c>
      <c r="D1022" s="34" t="s">
        <v>237</v>
      </c>
      <c r="E1022" s="32">
        <v>33</v>
      </c>
      <c r="F1022" s="34" t="s">
        <v>151</v>
      </c>
      <c r="G1022" s="35">
        <v>5.0000000000000001E-4</v>
      </c>
    </row>
    <row r="1023" spans="1:7" x14ac:dyDescent="0.2">
      <c r="A1023" s="34" t="s">
        <v>52</v>
      </c>
      <c r="B1023" s="34" t="s">
        <v>52</v>
      </c>
      <c r="C1023" s="34" t="s">
        <v>65</v>
      </c>
      <c r="D1023" s="34" t="s">
        <v>238</v>
      </c>
      <c r="E1023" s="32">
        <v>33</v>
      </c>
      <c r="F1023" s="34" t="s">
        <v>151</v>
      </c>
      <c r="G1023" s="35">
        <v>5.0000000000000001E-4</v>
      </c>
    </row>
    <row r="1024" spans="1:7" x14ac:dyDescent="0.2">
      <c r="A1024" s="34" t="s">
        <v>52</v>
      </c>
      <c r="B1024" s="34" t="s">
        <v>52</v>
      </c>
      <c r="C1024" s="34" t="s">
        <v>65</v>
      </c>
      <c r="D1024" s="34" t="s">
        <v>239</v>
      </c>
      <c r="E1024" s="32">
        <v>33</v>
      </c>
      <c r="F1024" s="34" t="s">
        <v>151</v>
      </c>
      <c r="G1024" s="35">
        <v>5.0000000000000001E-4</v>
      </c>
    </row>
    <row r="1025" spans="1:7" x14ac:dyDescent="0.2">
      <c r="A1025" s="34" t="s">
        <v>52</v>
      </c>
      <c r="B1025" s="34" t="s">
        <v>52</v>
      </c>
      <c r="C1025" s="34" t="s">
        <v>65</v>
      </c>
      <c r="D1025" s="34" t="s">
        <v>240</v>
      </c>
      <c r="E1025" s="32">
        <v>33</v>
      </c>
      <c r="F1025" s="34" t="s">
        <v>151</v>
      </c>
      <c r="G1025" s="35">
        <v>5.0000000000000001E-4</v>
      </c>
    </row>
    <row r="1026" spans="1:7" x14ac:dyDescent="0.2">
      <c r="A1026" s="34" t="s">
        <v>52</v>
      </c>
      <c r="B1026" s="34" t="s">
        <v>52</v>
      </c>
      <c r="C1026" s="34" t="s">
        <v>65</v>
      </c>
      <c r="D1026" s="34" t="s">
        <v>245</v>
      </c>
      <c r="E1026" s="32">
        <v>33</v>
      </c>
      <c r="F1026" s="34" t="s">
        <v>151</v>
      </c>
      <c r="G1026" s="35">
        <v>5.0000000000000001E-4</v>
      </c>
    </row>
    <row r="1027" spans="1:7" x14ac:dyDescent="0.2">
      <c r="A1027" s="34" t="s">
        <v>52</v>
      </c>
      <c r="B1027" s="34" t="s">
        <v>52</v>
      </c>
      <c r="C1027" s="34" t="s">
        <v>223</v>
      </c>
      <c r="D1027" s="34" t="s">
        <v>241</v>
      </c>
      <c r="E1027" s="32">
        <v>33</v>
      </c>
      <c r="F1027" s="34" t="s">
        <v>151</v>
      </c>
      <c r="G1027" s="35">
        <v>0.01</v>
      </c>
    </row>
    <row r="1028" spans="1:7" x14ac:dyDescent="0.2">
      <c r="A1028" s="34" t="s">
        <v>52</v>
      </c>
      <c r="B1028" s="34" t="s">
        <v>52</v>
      </c>
      <c r="C1028" s="34" t="s">
        <v>223</v>
      </c>
      <c r="D1028" s="34" t="s">
        <v>246</v>
      </c>
      <c r="E1028" s="32">
        <v>33</v>
      </c>
      <c r="F1028" s="34" t="s">
        <v>151</v>
      </c>
      <c r="G1028" s="35">
        <v>0.01</v>
      </c>
    </row>
    <row r="1029" spans="1:7" x14ac:dyDescent="0.2">
      <c r="A1029" s="34" t="s">
        <v>52</v>
      </c>
      <c r="B1029" s="34" t="s">
        <v>52</v>
      </c>
      <c r="C1029" s="34" t="s">
        <v>223</v>
      </c>
      <c r="D1029" s="34" t="s">
        <v>242</v>
      </c>
      <c r="E1029" s="32">
        <v>33</v>
      </c>
      <c r="F1029" s="34" t="s">
        <v>151</v>
      </c>
      <c r="G1029" s="35">
        <v>0.01</v>
      </c>
    </row>
    <row r="1030" spans="1:7" x14ac:dyDescent="0.2">
      <c r="A1030" s="34" t="s">
        <v>52</v>
      </c>
      <c r="B1030" s="34" t="s">
        <v>52</v>
      </c>
      <c r="C1030" s="34" t="s">
        <v>223</v>
      </c>
      <c r="D1030" s="34" t="s">
        <v>243</v>
      </c>
      <c r="E1030" s="32">
        <v>33</v>
      </c>
      <c r="F1030" s="34" t="s">
        <v>151</v>
      </c>
      <c r="G1030" s="35">
        <v>0.01</v>
      </c>
    </row>
    <row r="1031" spans="1:7" x14ac:dyDescent="0.2">
      <c r="A1031" s="34" t="s">
        <v>52</v>
      </c>
      <c r="B1031" s="34" t="s">
        <v>52</v>
      </c>
      <c r="C1031" s="34" t="s">
        <v>223</v>
      </c>
      <c r="D1031" s="34" t="s">
        <v>244</v>
      </c>
      <c r="E1031" s="32">
        <v>33</v>
      </c>
      <c r="F1031" s="34" t="s">
        <v>151</v>
      </c>
      <c r="G1031" s="35">
        <v>0.01</v>
      </c>
    </row>
    <row r="1032" spans="1:7" x14ac:dyDescent="0.2">
      <c r="A1032" s="34" t="s">
        <v>52</v>
      </c>
      <c r="B1032" s="34" t="s">
        <v>221</v>
      </c>
      <c r="C1032" s="34" t="s">
        <v>65</v>
      </c>
      <c r="D1032" s="34" t="s">
        <v>225</v>
      </c>
      <c r="E1032" s="32">
        <v>33</v>
      </c>
      <c r="F1032" s="34" t="s">
        <v>151</v>
      </c>
      <c r="G1032" s="35">
        <v>5.0000000000000001E-4</v>
      </c>
    </row>
    <row r="1033" spans="1:7" x14ac:dyDescent="0.2">
      <c r="A1033" s="34" t="s">
        <v>52</v>
      </c>
      <c r="B1033" s="34" t="s">
        <v>221</v>
      </c>
      <c r="C1033" s="34" t="s">
        <v>223</v>
      </c>
      <c r="D1033" s="34" t="s">
        <v>226</v>
      </c>
      <c r="E1033" s="32">
        <v>33</v>
      </c>
      <c r="F1033" s="34" t="s">
        <v>151</v>
      </c>
      <c r="G1033" s="35">
        <v>0.01</v>
      </c>
    </row>
    <row r="1034" spans="1:7" x14ac:dyDescent="0.2">
      <c r="A1034" s="34" t="s">
        <v>75</v>
      </c>
      <c r="B1034" s="34" t="s">
        <v>75</v>
      </c>
      <c r="C1034" s="34" t="s">
        <v>65</v>
      </c>
      <c r="D1034" s="34" t="s">
        <v>233</v>
      </c>
      <c r="E1034" s="32">
        <v>36</v>
      </c>
      <c r="F1034" s="34" t="s">
        <v>151</v>
      </c>
      <c r="G1034" s="35">
        <v>0.14453509748000001</v>
      </c>
    </row>
    <row r="1035" spans="1:7" x14ac:dyDescent="0.2">
      <c r="A1035" s="34" t="s">
        <v>75</v>
      </c>
      <c r="B1035" s="34" t="s">
        <v>75</v>
      </c>
      <c r="C1035" s="34" t="s">
        <v>65</v>
      </c>
      <c r="D1035" s="34" t="s">
        <v>227</v>
      </c>
      <c r="E1035" s="32">
        <v>36</v>
      </c>
      <c r="F1035" s="34" t="s">
        <v>151</v>
      </c>
      <c r="G1035" s="35">
        <v>0.14264769748</v>
      </c>
    </row>
    <row r="1036" spans="1:7" x14ac:dyDescent="0.2">
      <c r="A1036" s="34" t="s">
        <v>75</v>
      </c>
      <c r="B1036" s="34" t="s">
        <v>75</v>
      </c>
      <c r="C1036" s="34" t="s">
        <v>65</v>
      </c>
      <c r="D1036" s="34" t="s">
        <v>228</v>
      </c>
      <c r="E1036" s="32">
        <v>36</v>
      </c>
      <c r="F1036" s="34" t="s">
        <v>151</v>
      </c>
      <c r="G1036" s="35">
        <v>0.25237981748000005</v>
      </c>
    </row>
    <row r="1037" spans="1:7" x14ac:dyDescent="0.2">
      <c r="A1037" s="34" t="s">
        <v>75</v>
      </c>
      <c r="B1037" s="34" t="s">
        <v>75</v>
      </c>
      <c r="C1037" s="34" t="s">
        <v>65</v>
      </c>
      <c r="D1037" s="34" t="s">
        <v>229</v>
      </c>
      <c r="E1037" s="32">
        <v>36</v>
      </c>
      <c r="F1037" s="34" t="s">
        <v>151</v>
      </c>
      <c r="G1037" s="35">
        <v>0.13280525747999999</v>
      </c>
    </row>
    <row r="1038" spans="1:7" x14ac:dyDescent="0.2">
      <c r="A1038" s="34" t="s">
        <v>75</v>
      </c>
      <c r="B1038" s="34" t="s">
        <v>75</v>
      </c>
      <c r="C1038" s="34" t="s">
        <v>65</v>
      </c>
      <c r="D1038" s="34" t="s">
        <v>234</v>
      </c>
      <c r="E1038" s="32">
        <v>36</v>
      </c>
      <c r="F1038" s="34" t="s">
        <v>151</v>
      </c>
      <c r="G1038" s="35">
        <v>0.12024358148000003</v>
      </c>
    </row>
    <row r="1039" spans="1:7" x14ac:dyDescent="0.2">
      <c r="A1039" s="34" t="s">
        <v>75</v>
      </c>
      <c r="B1039" s="34" t="s">
        <v>75</v>
      </c>
      <c r="C1039" s="34" t="s">
        <v>223</v>
      </c>
      <c r="D1039" s="34" t="s">
        <v>230</v>
      </c>
      <c r="E1039" s="32">
        <v>36</v>
      </c>
      <c r="F1039" s="34" t="s">
        <v>151</v>
      </c>
      <c r="G1039" s="35">
        <v>8.2131262799999983E-3</v>
      </c>
    </row>
    <row r="1040" spans="1:7" x14ac:dyDescent="0.2">
      <c r="A1040" s="34" t="s">
        <v>75</v>
      </c>
      <c r="B1040" s="34" t="s">
        <v>75</v>
      </c>
      <c r="C1040" s="34" t="s">
        <v>223</v>
      </c>
      <c r="D1040" s="34" t="s">
        <v>231</v>
      </c>
      <c r="E1040" s="32">
        <v>36</v>
      </c>
      <c r="F1040" s="34" t="s">
        <v>151</v>
      </c>
      <c r="G1040" s="35">
        <v>7.6850755569230766E-3</v>
      </c>
    </row>
    <row r="1041" spans="1:7" x14ac:dyDescent="0.2">
      <c r="A1041" s="34" t="s">
        <v>75</v>
      </c>
      <c r="B1041" s="34" t="s">
        <v>75</v>
      </c>
      <c r="C1041" s="34" t="s">
        <v>223</v>
      </c>
      <c r="D1041" s="34" t="s">
        <v>235</v>
      </c>
      <c r="E1041" s="32">
        <v>36</v>
      </c>
      <c r="F1041" s="34" t="s">
        <v>151</v>
      </c>
      <c r="G1041" s="35">
        <v>8.1337006800000031E-3</v>
      </c>
    </row>
    <row r="1042" spans="1:7" x14ac:dyDescent="0.2">
      <c r="A1042" s="34" t="s">
        <v>75</v>
      </c>
      <c r="B1042" s="34" t="s">
        <v>75</v>
      </c>
      <c r="C1042" s="34" t="s">
        <v>223</v>
      </c>
      <c r="D1042" s="34" t="s">
        <v>232</v>
      </c>
      <c r="E1042" s="32">
        <v>36</v>
      </c>
      <c r="F1042" s="34" t="s">
        <v>151</v>
      </c>
      <c r="G1042" s="35">
        <v>3.6614434799999984E-3</v>
      </c>
    </row>
    <row r="1043" spans="1:7" x14ac:dyDescent="0.2">
      <c r="A1043" s="34" t="s">
        <v>75</v>
      </c>
      <c r="B1043" s="34" t="s">
        <v>75</v>
      </c>
      <c r="C1043" s="34" t="s">
        <v>223</v>
      </c>
      <c r="D1043" s="34" t="s">
        <v>236</v>
      </c>
      <c r="E1043" s="32">
        <v>36</v>
      </c>
      <c r="F1043" s="34" t="s">
        <v>151</v>
      </c>
      <c r="G1043" s="35">
        <v>2.7822241480000003E-2</v>
      </c>
    </row>
    <row r="1044" spans="1:7" x14ac:dyDescent="0.2">
      <c r="A1044" s="34" t="s">
        <v>75</v>
      </c>
      <c r="B1044" s="34" t="s">
        <v>221</v>
      </c>
      <c r="C1044" s="34" t="s">
        <v>65</v>
      </c>
      <c r="D1044" s="34" t="s">
        <v>222</v>
      </c>
      <c r="E1044" s="32">
        <v>36</v>
      </c>
      <c r="F1044" s="34" t="s">
        <v>151</v>
      </c>
      <c r="G1044" s="35">
        <v>0.17531653747999998</v>
      </c>
    </row>
    <row r="1045" spans="1:7" x14ac:dyDescent="0.2">
      <c r="A1045" s="34" t="s">
        <v>75</v>
      </c>
      <c r="B1045" s="34" t="s">
        <v>221</v>
      </c>
      <c r="C1045" s="34" t="s">
        <v>223</v>
      </c>
      <c r="D1045" s="34" t="s">
        <v>224</v>
      </c>
      <c r="E1045" s="32">
        <v>36</v>
      </c>
      <c r="F1045" s="34" t="s">
        <v>151</v>
      </c>
      <c r="G1045" s="35">
        <v>4.6588845479999988E-2</v>
      </c>
    </row>
    <row r="1046" spans="1:7" x14ac:dyDescent="0.2">
      <c r="A1046" s="34" t="s">
        <v>52</v>
      </c>
      <c r="B1046" s="34" t="s">
        <v>52</v>
      </c>
      <c r="C1046" s="34" t="s">
        <v>65</v>
      </c>
      <c r="D1046" s="34" t="s">
        <v>237</v>
      </c>
      <c r="E1046" s="32">
        <v>36</v>
      </c>
      <c r="F1046" s="34" t="s">
        <v>151</v>
      </c>
      <c r="G1046" s="35">
        <v>0.1032871789</v>
      </c>
    </row>
    <row r="1047" spans="1:7" x14ac:dyDescent="0.2">
      <c r="A1047" s="34" t="s">
        <v>52</v>
      </c>
      <c r="B1047" s="34" t="s">
        <v>52</v>
      </c>
      <c r="C1047" s="34" t="s">
        <v>65</v>
      </c>
      <c r="D1047" s="34" t="s">
        <v>238</v>
      </c>
      <c r="E1047" s="32">
        <v>36</v>
      </c>
      <c r="F1047" s="34" t="s">
        <v>151</v>
      </c>
      <c r="G1047" s="35">
        <v>9.5569666899999989E-2</v>
      </c>
    </row>
    <row r="1048" spans="1:7" x14ac:dyDescent="0.2">
      <c r="A1048" s="34" t="s">
        <v>52</v>
      </c>
      <c r="B1048" s="34" t="s">
        <v>52</v>
      </c>
      <c r="C1048" s="34" t="s">
        <v>65</v>
      </c>
      <c r="D1048" s="34" t="s">
        <v>239</v>
      </c>
      <c r="E1048" s="32">
        <v>36</v>
      </c>
      <c r="F1048" s="34" t="s">
        <v>151</v>
      </c>
      <c r="G1048" s="35">
        <v>0.1033467549</v>
      </c>
    </row>
    <row r="1049" spans="1:7" x14ac:dyDescent="0.2">
      <c r="A1049" s="34" t="s">
        <v>52</v>
      </c>
      <c r="B1049" s="34" t="s">
        <v>52</v>
      </c>
      <c r="C1049" s="34" t="s">
        <v>65</v>
      </c>
      <c r="D1049" s="34" t="s">
        <v>240</v>
      </c>
      <c r="E1049" s="32">
        <v>36</v>
      </c>
      <c r="F1049" s="34" t="s">
        <v>151</v>
      </c>
      <c r="G1049" s="35">
        <v>0.12868483889999999</v>
      </c>
    </row>
    <row r="1050" spans="1:7" x14ac:dyDescent="0.2">
      <c r="A1050" s="34" t="s">
        <v>52</v>
      </c>
      <c r="B1050" s="34" t="s">
        <v>52</v>
      </c>
      <c r="C1050" s="34" t="s">
        <v>65</v>
      </c>
      <c r="D1050" s="34" t="s">
        <v>245</v>
      </c>
      <c r="E1050" s="32">
        <v>36</v>
      </c>
      <c r="F1050" s="34" t="s">
        <v>151</v>
      </c>
      <c r="G1050" s="35">
        <v>9.6111950899999993E-2</v>
      </c>
    </row>
    <row r="1051" spans="1:7" x14ac:dyDescent="0.2">
      <c r="A1051" s="34" t="s">
        <v>52</v>
      </c>
      <c r="B1051" s="34" t="s">
        <v>52</v>
      </c>
      <c r="C1051" s="34" t="s">
        <v>223</v>
      </c>
      <c r="D1051" s="34" t="s">
        <v>241</v>
      </c>
      <c r="E1051" s="32">
        <v>36</v>
      </c>
      <c r="F1051" s="34" t="s">
        <v>151</v>
      </c>
      <c r="G1051" s="35">
        <v>0.22699397490000001</v>
      </c>
    </row>
    <row r="1052" spans="1:7" x14ac:dyDescent="0.2">
      <c r="A1052" s="34" t="s">
        <v>52</v>
      </c>
      <c r="B1052" s="34" t="s">
        <v>52</v>
      </c>
      <c r="C1052" s="34" t="s">
        <v>223</v>
      </c>
      <c r="D1052" s="34" t="s">
        <v>246</v>
      </c>
      <c r="E1052" s="32">
        <v>36</v>
      </c>
      <c r="F1052" s="34" t="s">
        <v>151</v>
      </c>
      <c r="G1052" s="35">
        <v>0.20141919951538464</v>
      </c>
    </row>
    <row r="1053" spans="1:7" x14ac:dyDescent="0.2">
      <c r="A1053" s="34" t="s">
        <v>52</v>
      </c>
      <c r="B1053" s="34" t="s">
        <v>52</v>
      </c>
      <c r="C1053" s="34" t="s">
        <v>223</v>
      </c>
      <c r="D1053" s="34" t="s">
        <v>242</v>
      </c>
      <c r="E1053" s="32">
        <v>36</v>
      </c>
      <c r="F1053" s="34" t="s">
        <v>151</v>
      </c>
      <c r="G1053" s="35">
        <v>0.4897760149</v>
      </c>
    </row>
    <row r="1054" spans="1:7" x14ac:dyDescent="0.2">
      <c r="A1054" s="34" t="s">
        <v>52</v>
      </c>
      <c r="B1054" s="34" t="s">
        <v>52</v>
      </c>
      <c r="C1054" s="34" t="s">
        <v>223</v>
      </c>
      <c r="D1054" s="34" t="s">
        <v>243</v>
      </c>
      <c r="E1054" s="32">
        <v>36</v>
      </c>
      <c r="F1054" s="34" t="s">
        <v>151</v>
      </c>
      <c r="G1054" s="35">
        <v>0.30935557490000004</v>
      </c>
    </row>
    <row r="1055" spans="1:7" x14ac:dyDescent="0.2">
      <c r="A1055" s="34" t="s">
        <v>52</v>
      </c>
      <c r="B1055" s="34" t="s">
        <v>52</v>
      </c>
      <c r="C1055" s="34" t="s">
        <v>223</v>
      </c>
      <c r="D1055" s="34" t="s">
        <v>244</v>
      </c>
      <c r="E1055" s="32">
        <v>36</v>
      </c>
      <c r="F1055" s="34" t="s">
        <v>151</v>
      </c>
      <c r="G1055" s="35">
        <v>0.19685869489999999</v>
      </c>
    </row>
    <row r="1056" spans="1:7" x14ac:dyDescent="0.2">
      <c r="A1056" s="34" t="s">
        <v>52</v>
      </c>
      <c r="B1056" s="34" t="s">
        <v>221</v>
      </c>
      <c r="C1056" s="34" t="s">
        <v>65</v>
      </c>
      <c r="D1056" s="34" t="s">
        <v>225</v>
      </c>
      <c r="E1056" s="32">
        <v>36</v>
      </c>
      <c r="F1056" s="34" t="s">
        <v>151</v>
      </c>
      <c r="G1056" s="35">
        <v>7.9200974899999999E-2</v>
      </c>
    </row>
    <row r="1057" spans="1:7" x14ac:dyDescent="0.2">
      <c r="A1057" s="34" t="s">
        <v>52</v>
      </c>
      <c r="B1057" s="34" t="s">
        <v>221</v>
      </c>
      <c r="C1057" s="34" t="s">
        <v>223</v>
      </c>
      <c r="D1057" s="34" t="s">
        <v>226</v>
      </c>
      <c r="E1057" s="32">
        <v>36</v>
      </c>
      <c r="F1057" s="34" t="s">
        <v>151</v>
      </c>
      <c r="G1057" s="35">
        <v>0.1422720989</v>
      </c>
    </row>
    <row r="1058" spans="1:7" x14ac:dyDescent="0.2">
      <c r="A1058" s="34" t="s">
        <v>75</v>
      </c>
      <c r="B1058" s="34" t="s">
        <v>75</v>
      </c>
      <c r="C1058" s="34" t="s">
        <v>65</v>
      </c>
      <c r="D1058" s="34" t="s">
        <v>233</v>
      </c>
      <c r="E1058" s="32">
        <v>36</v>
      </c>
      <c r="F1058" s="34" t="s">
        <v>151</v>
      </c>
      <c r="G1058" s="35">
        <v>5.0000000000000001E-4</v>
      </c>
    </row>
    <row r="1059" spans="1:7" x14ac:dyDescent="0.2">
      <c r="A1059" s="34" t="s">
        <v>75</v>
      </c>
      <c r="B1059" s="34" t="s">
        <v>75</v>
      </c>
      <c r="C1059" s="34" t="s">
        <v>65</v>
      </c>
      <c r="D1059" s="34" t="s">
        <v>227</v>
      </c>
      <c r="E1059" s="32">
        <v>36</v>
      </c>
      <c r="F1059" s="34" t="s">
        <v>151</v>
      </c>
      <c r="G1059" s="35">
        <v>5.0000000000000001E-4</v>
      </c>
    </row>
    <row r="1060" spans="1:7" x14ac:dyDescent="0.2">
      <c r="A1060" s="34" t="s">
        <v>75</v>
      </c>
      <c r="B1060" s="34" t="s">
        <v>75</v>
      </c>
      <c r="C1060" s="34" t="s">
        <v>65</v>
      </c>
      <c r="D1060" s="34" t="s">
        <v>228</v>
      </c>
      <c r="E1060" s="32">
        <v>36</v>
      </c>
      <c r="F1060" s="34" t="s">
        <v>151</v>
      </c>
      <c r="G1060" s="35">
        <v>5.0000000000000001E-4</v>
      </c>
    </row>
    <row r="1061" spans="1:7" x14ac:dyDescent="0.2">
      <c r="A1061" s="34" t="s">
        <v>75</v>
      </c>
      <c r="B1061" s="34" t="s">
        <v>75</v>
      </c>
      <c r="C1061" s="34" t="s">
        <v>65</v>
      </c>
      <c r="D1061" s="34" t="s">
        <v>229</v>
      </c>
      <c r="E1061" s="32">
        <v>36</v>
      </c>
      <c r="F1061" s="34" t="s">
        <v>151</v>
      </c>
      <c r="G1061" s="35">
        <v>5.0000000000000001E-4</v>
      </c>
    </row>
    <row r="1062" spans="1:7" x14ac:dyDescent="0.2">
      <c r="A1062" s="34" t="s">
        <v>75</v>
      </c>
      <c r="B1062" s="34" t="s">
        <v>75</v>
      </c>
      <c r="C1062" s="34" t="s">
        <v>65</v>
      </c>
      <c r="D1062" s="34" t="s">
        <v>234</v>
      </c>
      <c r="E1062" s="32">
        <v>36</v>
      </c>
      <c r="F1062" s="34" t="s">
        <v>151</v>
      </c>
      <c r="G1062" s="35">
        <v>5.0000000000000001E-4</v>
      </c>
    </row>
    <row r="1063" spans="1:7" x14ac:dyDescent="0.2">
      <c r="A1063" s="34" t="s">
        <v>75</v>
      </c>
      <c r="B1063" s="34" t="s">
        <v>75</v>
      </c>
      <c r="C1063" s="34" t="s">
        <v>223</v>
      </c>
      <c r="D1063" s="34" t="s">
        <v>230</v>
      </c>
      <c r="E1063" s="32">
        <v>36</v>
      </c>
      <c r="F1063" s="34" t="s">
        <v>151</v>
      </c>
      <c r="G1063" s="35">
        <v>3.0000000000000001E-3</v>
      </c>
    </row>
    <row r="1064" spans="1:7" x14ac:dyDescent="0.2">
      <c r="A1064" s="34" t="s">
        <v>75</v>
      </c>
      <c r="B1064" s="34" t="s">
        <v>75</v>
      </c>
      <c r="C1064" s="34" t="s">
        <v>223</v>
      </c>
      <c r="D1064" s="34" t="s">
        <v>231</v>
      </c>
      <c r="E1064" s="32">
        <v>36</v>
      </c>
      <c r="F1064" s="34" t="s">
        <v>151</v>
      </c>
      <c r="G1064" s="35">
        <v>1E-3</v>
      </c>
    </row>
    <row r="1065" spans="1:7" x14ac:dyDescent="0.2">
      <c r="A1065" s="34" t="s">
        <v>75</v>
      </c>
      <c r="B1065" s="34" t="s">
        <v>75</v>
      </c>
      <c r="C1065" s="34" t="s">
        <v>223</v>
      </c>
      <c r="D1065" s="34" t="s">
        <v>235</v>
      </c>
      <c r="E1065" s="32">
        <v>36</v>
      </c>
      <c r="F1065" s="34" t="s">
        <v>151</v>
      </c>
      <c r="G1065" s="35">
        <v>3.0000000000000001E-3</v>
      </c>
    </row>
    <row r="1066" spans="1:7" x14ac:dyDescent="0.2">
      <c r="A1066" s="34" t="s">
        <v>75</v>
      </c>
      <c r="B1066" s="34" t="s">
        <v>75</v>
      </c>
      <c r="C1066" s="34" t="s">
        <v>223</v>
      </c>
      <c r="D1066" s="34" t="s">
        <v>232</v>
      </c>
      <c r="E1066" s="32">
        <v>36</v>
      </c>
      <c r="F1066" s="34" t="s">
        <v>151</v>
      </c>
      <c r="G1066" s="35">
        <v>1E-3</v>
      </c>
    </row>
    <row r="1067" spans="1:7" x14ac:dyDescent="0.2">
      <c r="A1067" s="34" t="s">
        <v>75</v>
      </c>
      <c r="B1067" s="34" t="s">
        <v>75</v>
      </c>
      <c r="C1067" s="34" t="s">
        <v>223</v>
      </c>
      <c r="D1067" s="34" t="s">
        <v>236</v>
      </c>
      <c r="E1067" s="32">
        <v>36</v>
      </c>
      <c r="F1067" s="34" t="s">
        <v>151</v>
      </c>
      <c r="G1067" s="35">
        <v>3.0000000000000001E-3</v>
      </c>
    </row>
    <row r="1068" spans="1:7" x14ac:dyDescent="0.2">
      <c r="A1068" s="34" t="s">
        <v>75</v>
      </c>
      <c r="B1068" s="34" t="s">
        <v>221</v>
      </c>
      <c r="C1068" s="34" t="s">
        <v>65</v>
      </c>
      <c r="D1068" s="34" t="s">
        <v>222</v>
      </c>
      <c r="E1068" s="32">
        <v>36</v>
      </c>
      <c r="F1068" s="34" t="s">
        <v>151</v>
      </c>
      <c r="G1068" s="35">
        <v>5.0000000000000001E-4</v>
      </c>
    </row>
    <row r="1069" spans="1:7" x14ac:dyDescent="0.2">
      <c r="A1069" s="34" t="s">
        <v>75</v>
      </c>
      <c r="B1069" s="34" t="s">
        <v>221</v>
      </c>
      <c r="C1069" s="34" t="s">
        <v>223</v>
      </c>
      <c r="D1069" s="34" t="s">
        <v>224</v>
      </c>
      <c r="E1069" s="32">
        <v>36</v>
      </c>
      <c r="F1069" s="34" t="s">
        <v>151</v>
      </c>
      <c r="G1069" s="35">
        <v>3.0000000000000001E-3</v>
      </c>
    </row>
    <row r="1070" spans="1:7" x14ac:dyDescent="0.2">
      <c r="A1070" s="34" t="s">
        <v>52</v>
      </c>
      <c r="B1070" s="34" t="s">
        <v>52</v>
      </c>
      <c r="C1070" s="34" t="s">
        <v>65</v>
      </c>
      <c r="D1070" s="34" t="s">
        <v>237</v>
      </c>
      <c r="E1070" s="32">
        <v>36</v>
      </c>
      <c r="F1070" s="34" t="s">
        <v>151</v>
      </c>
      <c r="G1070" s="35">
        <v>5.0000000000000001E-4</v>
      </c>
    </row>
    <row r="1071" spans="1:7" x14ac:dyDescent="0.2">
      <c r="A1071" s="34" t="s">
        <v>52</v>
      </c>
      <c r="B1071" s="34" t="s">
        <v>52</v>
      </c>
      <c r="C1071" s="34" t="s">
        <v>65</v>
      </c>
      <c r="D1071" s="34" t="s">
        <v>238</v>
      </c>
      <c r="E1071" s="32">
        <v>36</v>
      </c>
      <c r="F1071" s="34" t="s">
        <v>151</v>
      </c>
      <c r="G1071" s="35">
        <v>5.0000000000000001E-4</v>
      </c>
    </row>
    <row r="1072" spans="1:7" x14ac:dyDescent="0.2">
      <c r="A1072" s="34" t="s">
        <v>52</v>
      </c>
      <c r="B1072" s="34" t="s">
        <v>52</v>
      </c>
      <c r="C1072" s="34" t="s">
        <v>65</v>
      </c>
      <c r="D1072" s="34" t="s">
        <v>239</v>
      </c>
      <c r="E1072" s="32">
        <v>36</v>
      </c>
      <c r="F1072" s="34" t="s">
        <v>151</v>
      </c>
      <c r="G1072" s="35">
        <v>5.0000000000000001E-4</v>
      </c>
    </row>
    <row r="1073" spans="1:7" x14ac:dyDescent="0.2">
      <c r="A1073" s="34" t="s">
        <v>52</v>
      </c>
      <c r="B1073" s="34" t="s">
        <v>52</v>
      </c>
      <c r="C1073" s="34" t="s">
        <v>65</v>
      </c>
      <c r="D1073" s="34" t="s">
        <v>240</v>
      </c>
      <c r="E1073" s="32">
        <v>36</v>
      </c>
      <c r="F1073" s="34" t="s">
        <v>151</v>
      </c>
      <c r="G1073" s="35">
        <v>5.0000000000000001E-4</v>
      </c>
    </row>
    <row r="1074" spans="1:7" x14ac:dyDescent="0.2">
      <c r="A1074" s="34" t="s">
        <v>52</v>
      </c>
      <c r="B1074" s="34" t="s">
        <v>52</v>
      </c>
      <c r="C1074" s="34" t="s">
        <v>65</v>
      </c>
      <c r="D1074" s="34" t="s">
        <v>245</v>
      </c>
      <c r="E1074" s="32">
        <v>36</v>
      </c>
      <c r="F1074" s="34" t="s">
        <v>151</v>
      </c>
      <c r="G1074" s="35">
        <v>5.0000000000000001E-4</v>
      </c>
    </row>
    <row r="1075" spans="1:7" x14ac:dyDescent="0.2">
      <c r="A1075" s="34" t="s">
        <v>52</v>
      </c>
      <c r="B1075" s="34" t="s">
        <v>52</v>
      </c>
      <c r="C1075" s="34" t="s">
        <v>223</v>
      </c>
      <c r="D1075" s="34" t="s">
        <v>241</v>
      </c>
      <c r="E1075" s="32">
        <v>36</v>
      </c>
      <c r="F1075" s="34" t="s">
        <v>151</v>
      </c>
      <c r="G1075" s="35">
        <v>6.0000000000000001E-3</v>
      </c>
    </row>
    <row r="1076" spans="1:7" x14ac:dyDescent="0.2">
      <c r="A1076" s="34" t="s">
        <v>52</v>
      </c>
      <c r="B1076" s="34" t="s">
        <v>52</v>
      </c>
      <c r="C1076" s="34" t="s">
        <v>223</v>
      </c>
      <c r="D1076" s="34" t="s">
        <v>246</v>
      </c>
      <c r="E1076" s="32">
        <v>36</v>
      </c>
      <c r="F1076" s="34" t="s">
        <v>151</v>
      </c>
      <c r="G1076" s="35">
        <v>6.0000000000000001E-3</v>
      </c>
    </row>
    <row r="1077" spans="1:7" x14ac:dyDescent="0.2">
      <c r="A1077" s="34" t="s">
        <v>52</v>
      </c>
      <c r="B1077" s="34" t="s">
        <v>52</v>
      </c>
      <c r="C1077" s="34" t="s">
        <v>223</v>
      </c>
      <c r="D1077" s="34" t="s">
        <v>242</v>
      </c>
      <c r="E1077" s="32">
        <v>36</v>
      </c>
      <c r="F1077" s="34" t="s">
        <v>151</v>
      </c>
      <c r="G1077" s="35">
        <v>6.0000000000000001E-3</v>
      </c>
    </row>
    <row r="1078" spans="1:7" x14ac:dyDescent="0.2">
      <c r="A1078" s="34" t="s">
        <v>52</v>
      </c>
      <c r="B1078" s="34" t="s">
        <v>52</v>
      </c>
      <c r="C1078" s="34" t="s">
        <v>223</v>
      </c>
      <c r="D1078" s="34" t="s">
        <v>243</v>
      </c>
      <c r="E1078" s="32">
        <v>36</v>
      </c>
      <c r="F1078" s="34" t="s">
        <v>151</v>
      </c>
      <c r="G1078" s="35">
        <v>6.0000000000000001E-3</v>
      </c>
    </row>
    <row r="1079" spans="1:7" x14ac:dyDescent="0.2">
      <c r="A1079" s="34" t="s">
        <v>52</v>
      </c>
      <c r="B1079" s="34" t="s">
        <v>52</v>
      </c>
      <c r="C1079" s="34" t="s">
        <v>223</v>
      </c>
      <c r="D1079" s="34" t="s">
        <v>244</v>
      </c>
      <c r="E1079" s="32">
        <v>36</v>
      </c>
      <c r="F1079" s="34" t="s">
        <v>151</v>
      </c>
      <c r="G1079" s="35">
        <v>6.0000000000000001E-3</v>
      </c>
    </row>
    <row r="1080" spans="1:7" x14ac:dyDescent="0.2">
      <c r="A1080" s="34" t="s">
        <v>52</v>
      </c>
      <c r="B1080" s="34" t="s">
        <v>221</v>
      </c>
      <c r="C1080" s="34" t="s">
        <v>65</v>
      </c>
      <c r="D1080" s="34" t="s">
        <v>225</v>
      </c>
      <c r="E1080" s="32">
        <v>36</v>
      </c>
      <c r="F1080" s="34" t="s">
        <v>151</v>
      </c>
      <c r="G1080" s="35">
        <v>5.0000000000000001E-4</v>
      </c>
    </row>
    <row r="1081" spans="1:7" x14ac:dyDescent="0.2">
      <c r="A1081" s="34" t="s">
        <v>52</v>
      </c>
      <c r="B1081" s="34" t="s">
        <v>221</v>
      </c>
      <c r="C1081" s="34" t="s">
        <v>223</v>
      </c>
      <c r="D1081" s="34" t="s">
        <v>226</v>
      </c>
      <c r="E1081" s="32">
        <v>36</v>
      </c>
      <c r="F1081" s="34" t="s">
        <v>151</v>
      </c>
      <c r="G1081" s="35">
        <v>6.0000000000000001E-3</v>
      </c>
    </row>
    <row r="1082" spans="1:7" x14ac:dyDescent="0.2">
      <c r="A1082" s="34" t="s">
        <v>75</v>
      </c>
      <c r="B1082" s="34" t="s">
        <v>75</v>
      </c>
      <c r="C1082" s="34" t="s">
        <v>65</v>
      </c>
      <c r="D1082" s="34" t="s">
        <v>233</v>
      </c>
      <c r="E1082" s="32">
        <v>39</v>
      </c>
      <c r="F1082" s="34" t="s">
        <v>151</v>
      </c>
      <c r="G1082" s="35">
        <v>0.11574379734999998</v>
      </c>
    </row>
    <row r="1083" spans="1:7" x14ac:dyDescent="0.2">
      <c r="A1083" s="34" t="s">
        <v>75</v>
      </c>
      <c r="B1083" s="34" t="s">
        <v>75</v>
      </c>
      <c r="C1083" s="34" t="s">
        <v>65</v>
      </c>
      <c r="D1083" s="34" t="s">
        <v>233</v>
      </c>
      <c r="E1083" s="32">
        <v>39</v>
      </c>
      <c r="F1083" s="34" t="s">
        <v>151</v>
      </c>
      <c r="G1083" s="35">
        <v>0.11111416535000003</v>
      </c>
    </row>
    <row r="1084" spans="1:7" x14ac:dyDescent="0.2">
      <c r="A1084" s="34" t="s">
        <v>75</v>
      </c>
      <c r="B1084" s="34" t="s">
        <v>75</v>
      </c>
      <c r="C1084" s="34" t="s">
        <v>65</v>
      </c>
      <c r="D1084" s="34" t="s">
        <v>228</v>
      </c>
      <c r="E1084" s="32">
        <v>39</v>
      </c>
      <c r="F1084" s="34" t="s">
        <v>151</v>
      </c>
      <c r="G1084" s="35">
        <v>0.13705494135000001</v>
      </c>
    </row>
    <row r="1085" spans="1:7" x14ac:dyDescent="0.2">
      <c r="A1085" s="34" t="s">
        <v>75</v>
      </c>
      <c r="B1085" s="34" t="s">
        <v>75</v>
      </c>
      <c r="C1085" s="34" t="s">
        <v>65</v>
      </c>
      <c r="D1085" s="34" t="s">
        <v>229</v>
      </c>
      <c r="E1085" s="32">
        <v>39</v>
      </c>
      <c r="F1085" s="34" t="s">
        <v>151</v>
      </c>
      <c r="G1085" s="35">
        <v>0.14137002135000001</v>
      </c>
    </row>
    <row r="1086" spans="1:7" x14ac:dyDescent="0.2">
      <c r="A1086" s="34" t="s">
        <v>75</v>
      </c>
      <c r="B1086" s="34" t="s">
        <v>75</v>
      </c>
      <c r="C1086" s="34" t="s">
        <v>65</v>
      </c>
      <c r="D1086" s="34" t="s">
        <v>234</v>
      </c>
      <c r="E1086" s="32">
        <v>39</v>
      </c>
      <c r="F1086" s="34" t="s">
        <v>151</v>
      </c>
      <c r="G1086" s="35">
        <v>0.15600266135000002</v>
      </c>
    </row>
    <row r="1087" spans="1:7" x14ac:dyDescent="0.2">
      <c r="A1087" s="34" t="s">
        <v>75</v>
      </c>
      <c r="B1087" s="34" t="s">
        <v>75</v>
      </c>
      <c r="C1087" s="34" t="s">
        <v>223</v>
      </c>
      <c r="D1087" s="34" t="s">
        <v>230</v>
      </c>
      <c r="E1087" s="32">
        <v>39</v>
      </c>
      <c r="F1087" s="34" t="s">
        <v>151</v>
      </c>
      <c r="G1087" s="35">
        <v>0.15823094135000002</v>
      </c>
    </row>
    <row r="1088" spans="1:7" x14ac:dyDescent="0.2">
      <c r="A1088" s="34" t="s">
        <v>75</v>
      </c>
      <c r="B1088" s="34" t="s">
        <v>75</v>
      </c>
      <c r="C1088" s="34" t="s">
        <v>223</v>
      </c>
      <c r="D1088" s="34" t="s">
        <v>231</v>
      </c>
      <c r="E1088" s="32">
        <v>39</v>
      </c>
      <c r="F1088" s="34" t="s">
        <v>151</v>
      </c>
      <c r="G1088" s="35">
        <v>7.0957525349999981E-2</v>
      </c>
    </row>
    <row r="1089" spans="1:7" x14ac:dyDescent="0.2">
      <c r="A1089" s="34" t="s">
        <v>75</v>
      </c>
      <c r="B1089" s="34" t="s">
        <v>75</v>
      </c>
      <c r="C1089" s="34" t="s">
        <v>223</v>
      </c>
      <c r="D1089" s="34" t="s">
        <v>235</v>
      </c>
      <c r="E1089" s="32">
        <v>39</v>
      </c>
      <c r="F1089" s="34" t="s">
        <v>151</v>
      </c>
      <c r="G1089" s="35">
        <v>0.10462367335000002</v>
      </c>
    </row>
    <row r="1090" spans="1:7" x14ac:dyDescent="0.2">
      <c r="A1090" s="34" t="s">
        <v>75</v>
      </c>
      <c r="B1090" s="34" t="s">
        <v>75</v>
      </c>
      <c r="C1090" s="34" t="s">
        <v>223</v>
      </c>
      <c r="D1090" s="34" t="s">
        <v>232</v>
      </c>
      <c r="E1090" s="32">
        <v>39</v>
      </c>
      <c r="F1090" s="34" t="s">
        <v>151</v>
      </c>
      <c r="G1090" s="35">
        <v>8.9159273349999971E-2</v>
      </c>
    </row>
    <row r="1091" spans="1:7" x14ac:dyDescent="0.2">
      <c r="A1091" s="34" t="s">
        <v>75</v>
      </c>
      <c r="B1091" s="34" t="s">
        <v>75</v>
      </c>
      <c r="C1091" s="34" t="s">
        <v>223</v>
      </c>
      <c r="D1091" s="34" t="s">
        <v>236</v>
      </c>
      <c r="E1091" s="32">
        <v>39</v>
      </c>
      <c r="F1091" s="34" t="s">
        <v>151</v>
      </c>
      <c r="G1091" s="35">
        <v>0.33517130135000001</v>
      </c>
    </row>
    <row r="1092" spans="1:7" x14ac:dyDescent="0.2">
      <c r="A1092" s="34" t="s">
        <v>75</v>
      </c>
      <c r="B1092" s="34" t="s">
        <v>221</v>
      </c>
      <c r="C1092" s="34" t="s">
        <v>65</v>
      </c>
      <c r="D1092" s="34" t="s">
        <v>222</v>
      </c>
      <c r="E1092" s="32">
        <v>39</v>
      </c>
      <c r="F1092" s="34" t="s">
        <v>151</v>
      </c>
      <c r="G1092" s="35">
        <v>0.13562566135000001</v>
      </c>
    </row>
    <row r="1093" spans="1:7" x14ac:dyDescent="0.2">
      <c r="A1093" s="34" t="s">
        <v>75</v>
      </c>
      <c r="B1093" s="34" t="s">
        <v>221</v>
      </c>
      <c r="C1093" s="34" t="s">
        <v>223</v>
      </c>
      <c r="D1093" s="34" t="s">
        <v>224</v>
      </c>
      <c r="E1093" s="32">
        <v>39</v>
      </c>
      <c r="F1093" s="34" t="s">
        <v>151</v>
      </c>
      <c r="G1093" s="35">
        <v>0.16208114134999996</v>
      </c>
    </row>
    <row r="1094" spans="1:7" x14ac:dyDescent="0.2">
      <c r="A1094" s="34" t="s">
        <v>52</v>
      </c>
      <c r="B1094" s="34" t="s">
        <v>52</v>
      </c>
      <c r="C1094" s="34" t="s">
        <v>65</v>
      </c>
      <c r="D1094" s="34" t="s">
        <v>237</v>
      </c>
      <c r="E1094" s="32">
        <v>39</v>
      </c>
      <c r="F1094" s="34" t="s">
        <v>151</v>
      </c>
      <c r="G1094" s="35">
        <v>8.5126062993999982E-2</v>
      </c>
    </row>
    <row r="1095" spans="1:7" x14ac:dyDescent="0.2">
      <c r="A1095" s="34" t="s">
        <v>52</v>
      </c>
      <c r="B1095" s="34" t="s">
        <v>52</v>
      </c>
      <c r="C1095" s="34" t="s">
        <v>65</v>
      </c>
      <c r="D1095" s="34" t="s">
        <v>238</v>
      </c>
      <c r="E1095" s="32">
        <v>39</v>
      </c>
      <c r="F1095" s="34" t="s">
        <v>151</v>
      </c>
      <c r="G1095" s="35">
        <v>8.2670010994000009E-2</v>
      </c>
    </row>
    <row r="1096" spans="1:7" x14ac:dyDescent="0.2">
      <c r="A1096" s="34" t="s">
        <v>52</v>
      </c>
      <c r="B1096" s="34" t="s">
        <v>52</v>
      </c>
      <c r="C1096" s="34" t="s">
        <v>65</v>
      </c>
      <c r="D1096" s="34" t="s">
        <v>239</v>
      </c>
      <c r="E1096" s="32">
        <v>39</v>
      </c>
      <c r="F1096" s="34" t="s">
        <v>151</v>
      </c>
      <c r="G1096" s="35">
        <v>8.9854710993999984E-2</v>
      </c>
    </row>
    <row r="1097" spans="1:7" x14ac:dyDescent="0.2">
      <c r="A1097" s="34" t="s">
        <v>52</v>
      </c>
      <c r="B1097" s="34" t="s">
        <v>52</v>
      </c>
      <c r="C1097" s="34" t="s">
        <v>65</v>
      </c>
      <c r="D1097" s="34" t="s">
        <v>240</v>
      </c>
      <c r="E1097" s="32">
        <v>39</v>
      </c>
      <c r="F1097" s="34" t="s">
        <v>151</v>
      </c>
      <c r="G1097" s="35">
        <v>9.9669798994000011E-2</v>
      </c>
    </row>
    <row r="1098" spans="1:7" x14ac:dyDescent="0.2">
      <c r="A1098" s="34" t="s">
        <v>52</v>
      </c>
      <c r="B1098" s="34" t="s">
        <v>52</v>
      </c>
      <c r="C1098" s="34" t="s">
        <v>65</v>
      </c>
      <c r="D1098" s="34" t="s">
        <v>245</v>
      </c>
      <c r="E1098" s="32">
        <v>39</v>
      </c>
      <c r="F1098" s="34" t="s">
        <v>151</v>
      </c>
      <c r="G1098" s="35">
        <v>8.1706134994000007E-2</v>
      </c>
    </row>
    <row r="1099" spans="1:7" x14ac:dyDescent="0.2">
      <c r="A1099" s="34" t="s">
        <v>52</v>
      </c>
      <c r="B1099" s="34" t="s">
        <v>52</v>
      </c>
      <c r="C1099" s="34" t="s">
        <v>223</v>
      </c>
      <c r="D1099" s="34" t="s">
        <v>241</v>
      </c>
      <c r="E1099" s="32">
        <v>39</v>
      </c>
      <c r="F1099" s="34" t="s">
        <v>151</v>
      </c>
      <c r="G1099" s="35">
        <v>0.113567726994</v>
      </c>
    </row>
    <row r="1100" spans="1:7" x14ac:dyDescent="0.2">
      <c r="A1100" s="34" t="s">
        <v>52</v>
      </c>
      <c r="B1100" s="34" t="s">
        <v>52</v>
      </c>
      <c r="C1100" s="34" t="s">
        <v>223</v>
      </c>
      <c r="D1100" s="34" t="s">
        <v>246</v>
      </c>
      <c r="E1100" s="32">
        <v>39</v>
      </c>
      <c r="F1100" s="34" t="s">
        <v>151</v>
      </c>
      <c r="G1100" s="35">
        <v>0.137787070994</v>
      </c>
    </row>
    <row r="1101" spans="1:7" x14ac:dyDescent="0.2">
      <c r="A1101" s="34" t="s">
        <v>52</v>
      </c>
      <c r="B1101" s="34" t="s">
        <v>52</v>
      </c>
      <c r="C1101" s="34" t="s">
        <v>223</v>
      </c>
      <c r="D1101" s="34" t="s">
        <v>242</v>
      </c>
      <c r="E1101" s="32">
        <v>39</v>
      </c>
      <c r="F1101" s="34" t="s">
        <v>151</v>
      </c>
      <c r="G1101" s="35">
        <v>0.208200990994</v>
      </c>
    </row>
    <row r="1102" spans="1:7" x14ac:dyDescent="0.2">
      <c r="A1102" s="34" t="s">
        <v>52</v>
      </c>
      <c r="B1102" s="34" t="s">
        <v>52</v>
      </c>
      <c r="C1102" s="34" t="s">
        <v>223</v>
      </c>
      <c r="D1102" s="34" t="s">
        <v>243</v>
      </c>
      <c r="E1102" s="32">
        <v>39</v>
      </c>
      <c r="F1102" s="34" t="s">
        <v>151</v>
      </c>
      <c r="G1102" s="35">
        <v>0.10952912299400004</v>
      </c>
    </row>
    <row r="1103" spans="1:7" x14ac:dyDescent="0.2">
      <c r="A1103" s="34" t="s">
        <v>52</v>
      </c>
      <c r="B1103" s="34" t="s">
        <v>52</v>
      </c>
      <c r="C1103" s="34" t="s">
        <v>223</v>
      </c>
      <c r="D1103" s="34" t="s">
        <v>244</v>
      </c>
      <c r="E1103" s="32">
        <v>39</v>
      </c>
      <c r="F1103" s="34" t="s">
        <v>151</v>
      </c>
      <c r="G1103" s="35">
        <v>7.1712518994000024E-2</v>
      </c>
    </row>
    <row r="1104" spans="1:7" x14ac:dyDescent="0.2">
      <c r="A1104" s="34" t="s">
        <v>52</v>
      </c>
      <c r="B1104" s="34" t="s">
        <v>221</v>
      </c>
      <c r="C1104" s="34" t="s">
        <v>65</v>
      </c>
      <c r="D1104" s="34" t="s">
        <v>225</v>
      </c>
      <c r="E1104" s="32">
        <v>39</v>
      </c>
      <c r="F1104" s="34" t="s">
        <v>151</v>
      </c>
      <c r="G1104" s="35">
        <v>4.5676378994000004E-2</v>
      </c>
    </row>
    <row r="1105" spans="1:7" x14ac:dyDescent="0.2">
      <c r="A1105" s="34" t="s">
        <v>52</v>
      </c>
      <c r="B1105" s="34" t="s">
        <v>221</v>
      </c>
      <c r="C1105" s="34" t="s">
        <v>223</v>
      </c>
      <c r="D1105" s="34" t="s">
        <v>226</v>
      </c>
      <c r="E1105" s="32">
        <v>39</v>
      </c>
      <c r="F1105" s="34" t="s">
        <v>151</v>
      </c>
      <c r="G1105" s="35">
        <v>6.1682778993999994E-2</v>
      </c>
    </row>
    <row r="1106" spans="1:7" x14ac:dyDescent="0.2">
      <c r="A1106" s="34" t="s">
        <v>75</v>
      </c>
      <c r="B1106" s="34" t="s">
        <v>75</v>
      </c>
      <c r="C1106" s="34" t="s">
        <v>65</v>
      </c>
      <c r="D1106" s="34" t="s">
        <v>233</v>
      </c>
      <c r="E1106" s="32">
        <v>39</v>
      </c>
      <c r="F1106" s="34" t="s">
        <v>151</v>
      </c>
      <c r="G1106" s="35">
        <v>5.0000000000000001E-4</v>
      </c>
    </row>
    <row r="1107" spans="1:7" x14ac:dyDescent="0.2">
      <c r="A1107" s="34" t="s">
        <v>75</v>
      </c>
      <c r="B1107" s="34" t="s">
        <v>75</v>
      </c>
      <c r="C1107" s="34" t="s">
        <v>65</v>
      </c>
      <c r="D1107" s="34" t="s">
        <v>227</v>
      </c>
      <c r="E1107" s="32">
        <v>39</v>
      </c>
      <c r="F1107" s="34" t="s">
        <v>151</v>
      </c>
      <c r="G1107" s="35">
        <v>5.0000000000000001E-4</v>
      </c>
    </row>
    <row r="1108" spans="1:7" x14ac:dyDescent="0.2">
      <c r="A1108" s="34" t="s">
        <v>75</v>
      </c>
      <c r="B1108" s="34" t="s">
        <v>75</v>
      </c>
      <c r="C1108" s="34" t="s">
        <v>65</v>
      </c>
      <c r="D1108" s="34" t="s">
        <v>228</v>
      </c>
      <c r="E1108" s="32">
        <v>39</v>
      </c>
      <c r="F1108" s="34" t="s">
        <v>151</v>
      </c>
      <c r="G1108" s="35">
        <v>5.0000000000000001E-4</v>
      </c>
    </row>
    <row r="1109" spans="1:7" x14ac:dyDescent="0.2">
      <c r="A1109" s="34" t="s">
        <v>75</v>
      </c>
      <c r="B1109" s="34" t="s">
        <v>75</v>
      </c>
      <c r="C1109" s="34" t="s">
        <v>65</v>
      </c>
      <c r="D1109" s="34" t="s">
        <v>229</v>
      </c>
      <c r="E1109" s="32">
        <v>39</v>
      </c>
      <c r="F1109" s="34" t="s">
        <v>151</v>
      </c>
      <c r="G1109" s="35">
        <v>5.0000000000000001E-4</v>
      </c>
    </row>
    <row r="1110" spans="1:7" x14ac:dyDescent="0.2">
      <c r="A1110" s="34" t="s">
        <v>75</v>
      </c>
      <c r="B1110" s="34" t="s">
        <v>75</v>
      </c>
      <c r="C1110" s="34" t="s">
        <v>65</v>
      </c>
      <c r="D1110" s="34" t="s">
        <v>234</v>
      </c>
      <c r="E1110" s="32">
        <v>39</v>
      </c>
      <c r="F1110" s="34" t="s">
        <v>151</v>
      </c>
      <c r="G1110" s="35">
        <v>5.0000000000000001E-4</v>
      </c>
    </row>
    <row r="1111" spans="1:7" x14ac:dyDescent="0.2">
      <c r="A1111" s="34" t="s">
        <v>75</v>
      </c>
      <c r="B1111" s="34" t="s">
        <v>75</v>
      </c>
      <c r="C1111" s="34" t="s">
        <v>223</v>
      </c>
      <c r="D1111" s="34" t="s">
        <v>230</v>
      </c>
      <c r="E1111" s="32">
        <v>39</v>
      </c>
      <c r="F1111" s="34" t="s">
        <v>151</v>
      </c>
      <c r="G1111" s="35">
        <v>3.0000000000000001E-3</v>
      </c>
    </row>
    <row r="1112" spans="1:7" x14ac:dyDescent="0.2">
      <c r="A1112" s="34" t="s">
        <v>75</v>
      </c>
      <c r="B1112" s="34" t="s">
        <v>75</v>
      </c>
      <c r="C1112" s="34" t="s">
        <v>223</v>
      </c>
      <c r="D1112" s="34" t="s">
        <v>231</v>
      </c>
      <c r="E1112" s="32">
        <v>39</v>
      </c>
      <c r="F1112" s="34" t="s">
        <v>151</v>
      </c>
      <c r="G1112" s="35">
        <v>3.0000000000000001E-3</v>
      </c>
    </row>
    <row r="1113" spans="1:7" x14ac:dyDescent="0.2">
      <c r="A1113" s="34" t="s">
        <v>75</v>
      </c>
      <c r="B1113" s="34" t="s">
        <v>75</v>
      </c>
      <c r="C1113" s="34" t="s">
        <v>223</v>
      </c>
      <c r="D1113" s="34" t="s">
        <v>235</v>
      </c>
      <c r="E1113" s="32">
        <v>39</v>
      </c>
      <c r="F1113" s="34" t="s">
        <v>151</v>
      </c>
      <c r="G1113" s="35">
        <v>3.0000000000000001E-3</v>
      </c>
    </row>
    <row r="1114" spans="1:7" x14ac:dyDescent="0.2">
      <c r="A1114" s="34" t="s">
        <v>75</v>
      </c>
      <c r="B1114" s="34" t="s">
        <v>75</v>
      </c>
      <c r="C1114" s="34" t="s">
        <v>223</v>
      </c>
      <c r="D1114" s="34" t="s">
        <v>232</v>
      </c>
      <c r="E1114" s="32">
        <v>39</v>
      </c>
      <c r="F1114" s="34" t="s">
        <v>151</v>
      </c>
      <c r="G1114" s="35">
        <v>3.0000000000000001E-3</v>
      </c>
    </row>
    <row r="1115" spans="1:7" x14ac:dyDescent="0.2">
      <c r="A1115" s="34" t="s">
        <v>75</v>
      </c>
      <c r="B1115" s="34" t="s">
        <v>75</v>
      </c>
      <c r="C1115" s="34" t="s">
        <v>223</v>
      </c>
      <c r="D1115" s="34" t="s">
        <v>236</v>
      </c>
      <c r="E1115" s="32">
        <v>39</v>
      </c>
      <c r="F1115" s="34" t="s">
        <v>151</v>
      </c>
      <c r="G1115" s="35">
        <v>3.0000000000000001E-3</v>
      </c>
    </row>
    <row r="1116" spans="1:7" x14ac:dyDescent="0.2">
      <c r="A1116" s="34" t="s">
        <v>75</v>
      </c>
      <c r="B1116" s="34" t="s">
        <v>221</v>
      </c>
      <c r="C1116" s="34" t="s">
        <v>65</v>
      </c>
      <c r="D1116" s="34" t="s">
        <v>222</v>
      </c>
      <c r="E1116" s="32">
        <v>39</v>
      </c>
      <c r="F1116" s="34" t="s">
        <v>151</v>
      </c>
      <c r="G1116" s="35">
        <v>5.0000000000000001E-4</v>
      </c>
    </row>
    <row r="1117" spans="1:7" x14ac:dyDescent="0.2">
      <c r="A1117" s="34" t="s">
        <v>75</v>
      </c>
      <c r="B1117" s="34" t="s">
        <v>221</v>
      </c>
      <c r="C1117" s="34" t="s">
        <v>223</v>
      </c>
      <c r="D1117" s="34" t="s">
        <v>224</v>
      </c>
      <c r="E1117" s="32">
        <v>39</v>
      </c>
      <c r="F1117" s="34" t="s">
        <v>151</v>
      </c>
      <c r="G1117" s="35">
        <v>3.0000000000000001E-3</v>
      </c>
    </row>
    <row r="1118" spans="1:7" x14ac:dyDescent="0.2">
      <c r="A1118" s="34" t="s">
        <v>52</v>
      </c>
      <c r="B1118" s="34" t="s">
        <v>52</v>
      </c>
      <c r="C1118" s="34" t="s">
        <v>65</v>
      </c>
      <c r="D1118" s="34" t="s">
        <v>237</v>
      </c>
      <c r="E1118" s="32">
        <v>39</v>
      </c>
      <c r="F1118" s="34" t="s">
        <v>151</v>
      </c>
      <c r="G1118" s="35">
        <v>1E-3</v>
      </c>
    </row>
    <row r="1119" spans="1:7" x14ac:dyDescent="0.2">
      <c r="A1119" s="34" t="s">
        <v>52</v>
      </c>
      <c r="B1119" s="34" t="s">
        <v>52</v>
      </c>
      <c r="C1119" s="34" t="s">
        <v>65</v>
      </c>
      <c r="D1119" s="34" t="s">
        <v>238</v>
      </c>
      <c r="E1119" s="32">
        <v>39</v>
      </c>
      <c r="F1119" s="34" t="s">
        <v>151</v>
      </c>
      <c r="G1119" s="35">
        <v>1E-3</v>
      </c>
    </row>
    <row r="1120" spans="1:7" x14ac:dyDescent="0.2">
      <c r="A1120" s="34" t="s">
        <v>52</v>
      </c>
      <c r="B1120" s="34" t="s">
        <v>52</v>
      </c>
      <c r="C1120" s="34" t="s">
        <v>65</v>
      </c>
      <c r="D1120" s="34" t="s">
        <v>239</v>
      </c>
      <c r="E1120" s="32">
        <v>39</v>
      </c>
      <c r="F1120" s="34" t="s">
        <v>151</v>
      </c>
      <c r="G1120" s="35">
        <v>1E-3</v>
      </c>
    </row>
    <row r="1121" spans="1:7" x14ac:dyDescent="0.2">
      <c r="A1121" s="34" t="s">
        <v>52</v>
      </c>
      <c r="B1121" s="34" t="s">
        <v>52</v>
      </c>
      <c r="C1121" s="34" t="s">
        <v>65</v>
      </c>
      <c r="D1121" s="34" t="s">
        <v>240</v>
      </c>
      <c r="E1121" s="32">
        <v>39</v>
      </c>
      <c r="F1121" s="34" t="s">
        <v>151</v>
      </c>
      <c r="G1121" s="35">
        <v>1E-3</v>
      </c>
    </row>
    <row r="1122" spans="1:7" x14ac:dyDescent="0.2">
      <c r="A1122" s="34" t="s">
        <v>52</v>
      </c>
      <c r="B1122" s="34" t="s">
        <v>52</v>
      </c>
      <c r="C1122" s="34" t="s">
        <v>65</v>
      </c>
      <c r="D1122" s="34" t="s">
        <v>245</v>
      </c>
      <c r="E1122" s="32">
        <v>39</v>
      </c>
      <c r="F1122" s="34" t="s">
        <v>151</v>
      </c>
      <c r="G1122" s="35">
        <v>1E-3</v>
      </c>
    </row>
    <row r="1123" spans="1:7" x14ac:dyDescent="0.2">
      <c r="A1123" s="34" t="s">
        <v>52</v>
      </c>
      <c r="B1123" s="34" t="s">
        <v>52</v>
      </c>
      <c r="C1123" s="34" t="s">
        <v>223</v>
      </c>
      <c r="D1123" s="34" t="s">
        <v>241</v>
      </c>
      <c r="E1123" s="32">
        <v>39</v>
      </c>
      <c r="F1123" s="34" t="s">
        <v>151</v>
      </c>
      <c r="G1123" s="35">
        <v>6.0000000000000001E-3</v>
      </c>
    </row>
    <row r="1124" spans="1:7" x14ac:dyDescent="0.2">
      <c r="A1124" s="34" t="s">
        <v>52</v>
      </c>
      <c r="B1124" s="34" t="s">
        <v>52</v>
      </c>
      <c r="C1124" s="34" t="s">
        <v>223</v>
      </c>
      <c r="D1124" s="34" t="s">
        <v>246</v>
      </c>
      <c r="E1124" s="32">
        <v>39</v>
      </c>
      <c r="F1124" s="34" t="s">
        <v>151</v>
      </c>
      <c r="G1124" s="35">
        <v>6.0000000000000001E-3</v>
      </c>
    </row>
    <row r="1125" spans="1:7" x14ac:dyDescent="0.2">
      <c r="A1125" s="34" t="s">
        <v>52</v>
      </c>
      <c r="B1125" s="34" t="s">
        <v>52</v>
      </c>
      <c r="C1125" s="34" t="s">
        <v>223</v>
      </c>
      <c r="D1125" s="34" t="s">
        <v>242</v>
      </c>
      <c r="E1125" s="32">
        <v>39</v>
      </c>
      <c r="F1125" s="34" t="s">
        <v>151</v>
      </c>
      <c r="G1125" s="35">
        <v>6.0000000000000001E-3</v>
      </c>
    </row>
    <row r="1126" spans="1:7" x14ac:dyDescent="0.2">
      <c r="A1126" s="34" t="s">
        <v>52</v>
      </c>
      <c r="B1126" s="34" t="s">
        <v>52</v>
      </c>
      <c r="C1126" s="34" t="s">
        <v>223</v>
      </c>
      <c r="D1126" s="34" t="s">
        <v>243</v>
      </c>
      <c r="E1126" s="32">
        <v>39</v>
      </c>
      <c r="F1126" s="34" t="s">
        <v>151</v>
      </c>
      <c r="G1126" s="35">
        <v>6.0000000000000001E-3</v>
      </c>
    </row>
    <row r="1127" spans="1:7" x14ac:dyDescent="0.2">
      <c r="A1127" s="34" t="s">
        <v>52</v>
      </c>
      <c r="B1127" s="34" t="s">
        <v>52</v>
      </c>
      <c r="C1127" s="34" t="s">
        <v>223</v>
      </c>
      <c r="D1127" s="34" t="s">
        <v>244</v>
      </c>
      <c r="E1127" s="32">
        <v>39</v>
      </c>
      <c r="F1127" s="34" t="s">
        <v>151</v>
      </c>
      <c r="G1127" s="35">
        <v>6.0000000000000001E-3</v>
      </c>
    </row>
    <row r="1128" spans="1:7" x14ac:dyDescent="0.2">
      <c r="A1128" s="34" t="s">
        <v>52</v>
      </c>
      <c r="B1128" s="34" t="s">
        <v>221</v>
      </c>
      <c r="C1128" s="34" t="s">
        <v>65</v>
      </c>
      <c r="D1128" s="34" t="s">
        <v>225</v>
      </c>
      <c r="E1128" s="32">
        <v>39</v>
      </c>
      <c r="F1128" s="34" t="s">
        <v>151</v>
      </c>
      <c r="G1128" s="35">
        <v>1E-3</v>
      </c>
    </row>
    <row r="1129" spans="1:7" x14ac:dyDescent="0.2">
      <c r="A1129" s="34" t="s">
        <v>52</v>
      </c>
      <c r="B1129" s="34" t="s">
        <v>221</v>
      </c>
      <c r="C1129" s="34" t="s">
        <v>223</v>
      </c>
      <c r="D1129" s="34" t="s">
        <v>226</v>
      </c>
      <c r="E1129" s="32">
        <v>39</v>
      </c>
      <c r="F1129" s="34" t="s">
        <v>151</v>
      </c>
      <c r="G1129" s="35">
        <v>6.0000000000000001E-3</v>
      </c>
    </row>
    <row r="1130" spans="1:7" x14ac:dyDescent="0.2">
      <c r="A1130" s="34" t="s">
        <v>75</v>
      </c>
      <c r="B1130" s="34" t="s">
        <v>75</v>
      </c>
      <c r="C1130" s="34" t="s">
        <v>65</v>
      </c>
      <c r="D1130" s="34" t="s">
        <v>233</v>
      </c>
      <c r="E1130" s="32">
        <v>42</v>
      </c>
      <c r="F1130" s="34" t="s">
        <v>151</v>
      </c>
      <c r="G1130" s="35">
        <v>0.12749669789900001</v>
      </c>
    </row>
    <row r="1131" spans="1:7" x14ac:dyDescent="0.2">
      <c r="A1131" s="34" t="s">
        <v>75</v>
      </c>
      <c r="B1131" s="34" t="s">
        <v>75</v>
      </c>
      <c r="C1131" s="34" t="s">
        <v>65</v>
      </c>
      <c r="D1131" s="34" t="s">
        <v>227</v>
      </c>
      <c r="E1131" s="32">
        <v>42</v>
      </c>
      <c r="F1131" s="34" t="s">
        <v>151</v>
      </c>
      <c r="G1131" s="35">
        <v>0.13529018189899999</v>
      </c>
    </row>
    <row r="1132" spans="1:7" x14ac:dyDescent="0.2">
      <c r="A1132" s="34" t="s">
        <v>75</v>
      </c>
      <c r="B1132" s="34" t="s">
        <v>75</v>
      </c>
      <c r="C1132" s="34" t="s">
        <v>65</v>
      </c>
      <c r="D1132" s="34" t="s">
        <v>228</v>
      </c>
      <c r="E1132" s="32">
        <v>42</v>
      </c>
      <c r="F1132" s="34" t="s">
        <v>151</v>
      </c>
      <c r="G1132" s="35">
        <v>0.14918094589900002</v>
      </c>
    </row>
    <row r="1133" spans="1:7" x14ac:dyDescent="0.2">
      <c r="A1133" s="34" t="s">
        <v>75</v>
      </c>
      <c r="B1133" s="34" t="s">
        <v>75</v>
      </c>
      <c r="C1133" s="34" t="s">
        <v>65</v>
      </c>
      <c r="D1133" s="34" t="s">
        <v>229</v>
      </c>
      <c r="E1133" s="32">
        <v>42</v>
      </c>
      <c r="F1133" s="34" t="s">
        <v>151</v>
      </c>
      <c r="G1133" s="35">
        <v>0.138929345899</v>
      </c>
    </row>
    <row r="1134" spans="1:7" x14ac:dyDescent="0.2">
      <c r="A1134" s="34" t="s">
        <v>75</v>
      </c>
      <c r="B1134" s="34" t="s">
        <v>75</v>
      </c>
      <c r="C1134" s="34" t="s">
        <v>65</v>
      </c>
      <c r="D1134" s="34" t="s">
        <v>234</v>
      </c>
      <c r="E1134" s="32">
        <v>42</v>
      </c>
      <c r="F1134" s="34" t="s">
        <v>151</v>
      </c>
      <c r="G1134" s="35">
        <v>0.13042865789899999</v>
      </c>
    </row>
    <row r="1135" spans="1:7" x14ac:dyDescent="0.2">
      <c r="A1135" s="34" t="s">
        <v>75</v>
      </c>
      <c r="B1135" s="34" t="s">
        <v>75</v>
      </c>
      <c r="C1135" s="34" t="s">
        <v>223</v>
      </c>
      <c r="D1135" s="34" t="s">
        <v>230</v>
      </c>
      <c r="E1135" s="32">
        <v>42</v>
      </c>
      <c r="F1135" s="34" t="s">
        <v>151</v>
      </c>
      <c r="G1135" s="35">
        <v>4.7585981898999999E-2</v>
      </c>
    </row>
    <row r="1136" spans="1:7" x14ac:dyDescent="0.2">
      <c r="A1136" s="34" t="s">
        <v>75</v>
      </c>
      <c r="B1136" s="34" t="s">
        <v>75</v>
      </c>
      <c r="C1136" s="34" t="s">
        <v>223</v>
      </c>
      <c r="D1136" s="34" t="s">
        <v>231</v>
      </c>
      <c r="E1136" s="32">
        <v>42</v>
      </c>
      <c r="F1136" s="34" t="s">
        <v>151</v>
      </c>
      <c r="G1136" s="35">
        <v>3.3803949898999999E-2</v>
      </c>
    </row>
    <row r="1137" spans="1:7" x14ac:dyDescent="0.2">
      <c r="A1137" s="34" t="s">
        <v>75</v>
      </c>
      <c r="B1137" s="34" t="s">
        <v>75</v>
      </c>
      <c r="C1137" s="34" t="s">
        <v>223</v>
      </c>
      <c r="D1137" s="34" t="s">
        <v>235</v>
      </c>
      <c r="E1137" s="32">
        <v>42</v>
      </c>
      <c r="F1137" s="34" t="s">
        <v>151</v>
      </c>
      <c r="G1137" s="35">
        <v>2.2318561898999997E-2</v>
      </c>
    </row>
    <row r="1138" spans="1:7" x14ac:dyDescent="0.2">
      <c r="A1138" s="34" t="s">
        <v>75</v>
      </c>
      <c r="B1138" s="34" t="s">
        <v>75</v>
      </c>
      <c r="C1138" s="34" t="s">
        <v>223</v>
      </c>
      <c r="D1138" s="34" t="s">
        <v>232</v>
      </c>
      <c r="E1138" s="32">
        <v>42</v>
      </c>
      <c r="F1138" s="34" t="s">
        <v>151</v>
      </c>
      <c r="G1138" s="35">
        <v>3.2597249898999994E-2</v>
      </c>
    </row>
    <row r="1139" spans="1:7" x14ac:dyDescent="0.2">
      <c r="A1139" s="34" t="s">
        <v>75</v>
      </c>
      <c r="B1139" s="34" t="s">
        <v>75</v>
      </c>
      <c r="C1139" s="34" t="s">
        <v>223</v>
      </c>
      <c r="D1139" s="34" t="s">
        <v>236</v>
      </c>
      <c r="E1139" s="32">
        <v>42</v>
      </c>
      <c r="F1139" s="34" t="s">
        <v>151</v>
      </c>
      <c r="G1139" s="35">
        <v>1.9511773899000006E-2</v>
      </c>
    </row>
    <row r="1140" spans="1:7" x14ac:dyDescent="0.2">
      <c r="A1140" s="34" t="s">
        <v>75</v>
      </c>
      <c r="B1140" s="34" t="s">
        <v>221</v>
      </c>
      <c r="C1140" s="34" t="s">
        <v>65</v>
      </c>
      <c r="D1140" s="34" t="s">
        <v>222</v>
      </c>
      <c r="E1140" s="32">
        <v>42</v>
      </c>
      <c r="F1140" s="34" t="s">
        <v>151</v>
      </c>
      <c r="G1140" s="35">
        <v>0.11569241389900001</v>
      </c>
    </row>
    <row r="1141" spans="1:7" x14ac:dyDescent="0.2">
      <c r="A1141" s="34" t="s">
        <v>75</v>
      </c>
      <c r="B1141" s="34" t="s">
        <v>221</v>
      </c>
      <c r="C1141" s="34" t="s">
        <v>223</v>
      </c>
      <c r="D1141" s="34" t="s">
        <v>224</v>
      </c>
      <c r="E1141" s="32">
        <v>42</v>
      </c>
      <c r="F1141" s="34" t="s">
        <v>151</v>
      </c>
      <c r="G1141" s="35">
        <v>3.0513641898999997E-2</v>
      </c>
    </row>
    <row r="1142" spans="1:7" x14ac:dyDescent="0.2">
      <c r="A1142" s="34" t="s">
        <v>52</v>
      </c>
      <c r="B1142" s="34" t="s">
        <v>52</v>
      </c>
      <c r="C1142" s="34" t="s">
        <v>65</v>
      </c>
      <c r="D1142" s="34" t="s">
        <v>237</v>
      </c>
      <c r="E1142" s="32">
        <v>42</v>
      </c>
      <c r="F1142" s="34" t="s">
        <v>151</v>
      </c>
      <c r="G1142" s="35">
        <v>0.16147792306000006</v>
      </c>
    </row>
    <row r="1143" spans="1:7" x14ac:dyDescent="0.2">
      <c r="A1143" s="34" t="s">
        <v>52</v>
      </c>
      <c r="B1143" s="34" t="s">
        <v>52</v>
      </c>
      <c r="C1143" s="34" t="s">
        <v>65</v>
      </c>
      <c r="D1143" s="34" t="s">
        <v>238</v>
      </c>
      <c r="E1143" s="32">
        <v>42</v>
      </c>
      <c r="F1143" s="34" t="s">
        <v>151</v>
      </c>
      <c r="G1143" s="35">
        <v>0.15994144305999997</v>
      </c>
    </row>
    <row r="1144" spans="1:7" x14ac:dyDescent="0.2">
      <c r="A1144" s="34" t="s">
        <v>52</v>
      </c>
      <c r="B1144" s="34" t="s">
        <v>52</v>
      </c>
      <c r="C1144" s="34" t="s">
        <v>65</v>
      </c>
      <c r="D1144" s="34" t="s">
        <v>239</v>
      </c>
      <c r="E1144" s="32">
        <v>42</v>
      </c>
      <c r="F1144" s="34" t="s">
        <v>151</v>
      </c>
      <c r="G1144" s="35">
        <v>0.17179080306000002</v>
      </c>
    </row>
    <row r="1145" spans="1:7" x14ac:dyDescent="0.2">
      <c r="A1145" s="34" t="s">
        <v>52</v>
      </c>
      <c r="B1145" s="34" t="s">
        <v>52</v>
      </c>
      <c r="C1145" s="34" t="s">
        <v>65</v>
      </c>
      <c r="D1145" s="34" t="s">
        <v>240</v>
      </c>
      <c r="E1145" s="32">
        <v>42</v>
      </c>
      <c r="F1145" s="34" t="s">
        <v>151</v>
      </c>
      <c r="G1145" s="35">
        <v>0.18317392305999999</v>
      </c>
    </row>
    <row r="1146" spans="1:7" x14ac:dyDescent="0.2">
      <c r="A1146" s="34" t="s">
        <v>52</v>
      </c>
      <c r="B1146" s="34" t="s">
        <v>52</v>
      </c>
      <c r="C1146" s="34" t="s">
        <v>65</v>
      </c>
      <c r="D1146" s="34" t="s">
        <v>245</v>
      </c>
      <c r="E1146" s="32">
        <v>42</v>
      </c>
      <c r="F1146" s="34" t="s">
        <v>151</v>
      </c>
      <c r="G1146" s="35">
        <v>0.25384188306</v>
      </c>
    </row>
    <row r="1147" spans="1:7" x14ac:dyDescent="0.2">
      <c r="A1147" s="34" t="s">
        <v>52</v>
      </c>
      <c r="B1147" s="34" t="s">
        <v>52</v>
      </c>
      <c r="C1147" s="34" t="s">
        <v>223</v>
      </c>
      <c r="D1147" s="34" t="s">
        <v>241</v>
      </c>
      <c r="E1147" s="32">
        <v>42</v>
      </c>
      <c r="F1147" s="34" t="s">
        <v>151</v>
      </c>
      <c r="G1147" s="35">
        <v>0.15315000306000001</v>
      </c>
    </row>
    <row r="1148" spans="1:7" x14ac:dyDescent="0.2">
      <c r="A1148" s="34" t="s">
        <v>52</v>
      </c>
      <c r="B1148" s="34" t="s">
        <v>52</v>
      </c>
      <c r="C1148" s="34" t="s">
        <v>223</v>
      </c>
      <c r="D1148" s="34" t="s">
        <v>246</v>
      </c>
      <c r="E1148" s="32">
        <v>42</v>
      </c>
      <c r="F1148" s="34" t="s">
        <v>151</v>
      </c>
      <c r="G1148" s="35">
        <v>0.18331492306000002</v>
      </c>
    </row>
    <row r="1149" spans="1:7" x14ac:dyDescent="0.2">
      <c r="A1149" s="34" t="s">
        <v>52</v>
      </c>
      <c r="B1149" s="34" t="s">
        <v>52</v>
      </c>
      <c r="C1149" s="34" t="s">
        <v>223</v>
      </c>
      <c r="D1149" s="34" t="s">
        <v>242</v>
      </c>
      <c r="E1149" s="32">
        <v>42</v>
      </c>
      <c r="F1149" s="34" t="s">
        <v>151</v>
      </c>
      <c r="G1149" s="35">
        <v>0.33562704306000007</v>
      </c>
    </row>
    <row r="1150" spans="1:7" x14ac:dyDescent="0.2">
      <c r="A1150" s="34" t="s">
        <v>52</v>
      </c>
      <c r="B1150" s="34" t="s">
        <v>52</v>
      </c>
      <c r="C1150" s="34" t="s">
        <v>223</v>
      </c>
      <c r="D1150" s="34" t="s">
        <v>243</v>
      </c>
      <c r="E1150" s="32">
        <v>42</v>
      </c>
      <c r="F1150" s="34" t="s">
        <v>151</v>
      </c>
      <c r="G1150" s="35">
        <v>0.24274972305999998</v>
      </c>
    </row>
    <row r="1151" spans="1:7" x14ac:dyDescent="0.2">
      <c r="A1151" s="34" t="s">
        <v>52</v>
      </c>
      <c r="B1151" s="34" t="s">
        <v>52</v>
      </c>
      <c r="C1151" s="34" t="s">
        <v>223</v>
      </c>
      <c r="D1151" s="34" t="s">
        <v>244</v>
      </c>
      <c r="E1151" s="32">
        <v>42</v>
      </c>
      <c r="F1151" s="34" t="s">
        <v>151</v>
      </c>
      <c r="G1151" s="35">
        <v>0.12139249906000002</v>
      </c>
    </row>
    <row r="1152" spans="1:7" x14ac:dyDescent="0.2">
      <c r="A1152" s="34" t="s">
        <v>52</v>
      </c>
      <c r="B1152" s="34" t="s">
        <v>221</v>
      </c>
      <c r="C1152" s="34" t="s">
        <v>65</v>
      </c>
      <c r="D1152" s="34" t="s">
        <v>225</v>
      </c>
      <c r="E1152" s="32">
        <v>42</v>
      </c>
      <c r="F1152" s="34" t="s">
        <v>151</v>
      </c>
      <c r="G1152" s="35">
        <v>0.12593239505999995</v>
      </c>
    </row>
    <row r="1153" spans="1:7" x14ac:dyDescent="0.2">
      <c r="A1153" s="34" t="s">
        <v>52</v>
      </c>
      <c r="B1153" s="34" t="s">
        <v>221</v>
      </c>
      <c r="C1153" s="34" t="s">
        <v>223</v>
      </c>
      <c r="D1153" s="34" t="s">
        <v>226</v>
      </c>
      <c r="E1153" s="32">
        <v>42</v>
      </c>
      <c r="F1153" s="34" t="s">
        <v>151</v>
      </c>
      <c r="G1153" s="35">
        <v>9.4198431060000018E-2</v>
      </c>
    </row>
    <row r="1154" spans="1:7" x14ac:dyDescent="0.2">
      <c r="A1154" s="34" t="s">
        <v>75</v>
      </c>
      <c r="B1154" s="34" t="s">
        <v>75</v>
      </c>
      <c r="C1154" s="34" t="s">
        <v>65</v>
      </c>
      <c r="D1154" s="34" t="s">
        <v>233</v>
      </c>
      <c r="E1154" s="32">
        <v>0</v>
      </c>
      <c r="F1154" s="34" t="s">
        <v>349</v>
      </c>
      <c r="G1154" s="35">
        <v>0.64818181818181841</v>
      </c>
    </row>
    <row r="1155" spans="1:7" x14ac:dyDescent="0.2">
      <c r="A1155" s="34" t="s">
        <v>75</v>
      </c>
      <c r="B1155" s="34" t="s">
        <v>75</v>
      </c>
      <c r="C1155" s="34" t="s">
        <v>65</v>
      </c>
      <c r="D1155" s="34" t="s">
        <v>227</v>
      </c>
      <c r="E1155" s="32">
        <v>0</v>
      </c>
      <c r="F1155" s="34" t="s">
        <v>349</v>
      </c>
      <c r="G1155" s="35">
        <v>0.64818181818181841</v>
      </c>
    </row>
    <row r="1156" spans="1:7" x14ac:dyDescent="0.2">
      <c r="A1156" s="34" t="s">
        <v>75</v>
      </c>
      <c r="B1156" s="34" t="s">
        <v>75</v>
      </c>
      <c r="C1156" s="34" t="s">
        <v>65</v>
      </c>
      <c r="D1156" s="34" t="s">
        <v>228</v>
      </c>
      <c r="E1156" s="32">
        <v>0</v>
      </c>
      <c r="F1156" s="34" t="s">
        <v>349</v>
      </c>
      <c r="G1156" s="35">
        <v>0.64818181818181841</v>
      </c>
    </row>
    <row r="1157" spans="1:7" x14ac:dyDescent="0.2">
      <c r="A1157" s="34" t="s">
        <v>75</v>
      </c>
      <c r="B1157" s="34" t="s">
        <v>75</v>
      </c>
      <c r="C1157" s="34" t="s">
        <v>65</v>
      </c>
      <c r="D1157" s="34" t="s">
        <v>229</v>
      </c>
      <c r="E1157" s="32">
        <v>0</v>
      </c>
      <c r="F1157" s="34" t="s">
        <v>349</v>
      </c>
      <c r="G1157" s="35">
        <v>0.64818181818181841</v>
      </c>
    </row>
    <row r="1158" spans="1:7" x14ac:dyDescent="0.2">
      <c r="A1158" s="34" t="s">
        <v>75</v>
      </c>
      <c r="B1158" s="34" t="s">
        <v>75</v>
      </c>
      <c r="C1158" s="34" t="s">
        <v>65</v>
      </c>
      <c r="D1158" s="34" t="s">
        <v>234</v>
      </c>
      <c r="E1158" s="32">
        <v>0</v>
      </c>
      <c r="F1158" s="34" t="s">
        <v>349</v>
      </c>
      <c r="G1158" s="35">
        <v>0.64818181818181841</v>
      </c>
    </row>
    <row r="1159" spans="1:7" x14ac:dyDescent="0.2">
      <c r="A1159" s="34" t="s">
        <v>75</v>
      </c>
      <c r="B1159" s="34" t="s">
        <v>75</v>
      </c>
      <c r="C1159" s="34" t="s">
        <v>223</v>
      </c>
      <c r="D1159" s="34" t="s">
        <v>230</v>
      </c>
      <c r="E1159" s="32">
        <v>0</v>
      </c>
      <c r="F1159" s="34" t="s">
        <v>349</v>
      </c>
      <c r="G1159" s="35">
        <v>0.64818181818181841</v>
      </c>
    </row>
    <row r="1160" spans="1:7" x14ac:dyDescent="0.2">
      <c r="A1160" s="34" t="s">
        <v>75</v>
      </c>
      <c r="B1160" s="34" t="s">
        <v>75</v>
      </c>
      <c r="C1160" s="34" t="s">
        <v>223</v>
      </c>
      <c r="D1160" s="34" t="s">
        <v>231</v>
      </c>
      <c r="E1160" s="32">
        <v>0</v>
      </c>
      <c r="F1160" s="34" t="s">
        <v>349</v>
      </c>
      <c r="G1160" s="35">
        <v>0.64818181818181841</v>
      </c>
    </row>
    <row r="1161" spans="1:7" x14ac:dyDescent="0.2">
      <c r="A1161" s="34" t="s">
        <v>75</v>
      </c>
      <c r="B1161" s="34" t="s">
        <v>75</v>
      </c>
      <c r="C1161" s="34" t="s">
        <v>223</v>
      </c>
      <c r="D1161" s="34" t="s">
        <v>235</v>
      </c>
      <c r="E1161" s="32">
        <v>0</v>
      </c>
      <c r="F1161" s="34" t="s">
        <v>349</v>
      </c>
      <c r="G1161" s="35">
        <v>0.64818181818181841</v>
      </c>
    </row>
    <row r="1162" spans="1:7" x14ac:dyDescent="0.2">
      <c r="A1162" s="34" t="s">
        <v>75</v>
      </c>
      <c r="B1162" s="34" t="s">
        <v>75</v>
      </c>
      <c r="C1162" s="34" t="s">
        <v>223</v>
      </c>
      <c r="D1162" s="34" t="s">
        <v>232</v>
      </c>
      <c r="E1162" s="32">
        <v>0</v>
      </c>
      <c r="F1162" s="34" t="s">
        <v>349</v>
      </c>
      <c r="G1162" s="35">
        <v>0.64818181818181841</v>
      </c>
    </row>
    <row r="1163" spans="1:7" x14ac:dyDescent="0.2">
      <c r="A1163" s="34" t="s">
        <v>75</v>
      </c>
      <c r="B1163" s="34" t="s">
        <v>75</v>
      </c>
      <c r="C1163" s="34" t="s">
        <v>223</v>
      </c>
      <c r="D1163" s="34" t="s">
        <v>236</v>
      </c>
      <c r="E1163" s="32">
        <v>0</v>
      </c>
      <c r="F1163" s="34" t="s">
        <v>349</v>
      </c>
      <c r="G1163" s="35">
        <v>0.64818181818181841</v>
      </c>
    </row>
    <row r="1164" spans="1:7" x14ac:dyDescent="0.2">
      <c r="A1164" s="34" t="s">
        <v>75</v>
      </c>
      <c r="B1164" s="34" t="s">
        <v>221</v>
      </c>
      <c r="C1164" s="34" t="s">
        <v>65</v>
      </c>
      <c r="D1164" s="34" t="s">
        <v>222</v>
      </c>
      <c r="E1164" s="32">
        <v>0</v>
      </c>
      <c r="F1164" s="34" t="s">
        <v>349</v>
      </c>
      <c r="G1164" s="35">
        <v>0.62</v>
      </c>
    </row>
    <row r="1165" spans="1:7" x14ac:dyDescent="0.2">
      <c r="A1165" s="34" t="s">
        <v>75</v>
      </c>
      <c r="B1165" s="34" t="s">
        <v>221</v>
      </c>
      <c r="C1165" s="34" t="s">
        <v>223</v>
      </c>
      <c r="D1165" s="34" t="s">
        <v>224</v>
      </c>
      <c r="E1165" s="32">
        <v>0</v>
      </c>
      <c r="F1165" s="34" t="s">
        <v>349</v>
      </c>
      <c r="G1165" s="35">
        <v>0.62</v>
      </c>
    </row>
    <row r="1166" spans="1:7" x14ac:dyDescent="0.2">
      <c r="A1166" s="34" t="s">
        <v>52</v>
      </c>
      <c r="B1166" s="34" t="s">
        <v>52</v>
      </c>
      <c r="C1166" s="34" t="s">
        <v>65</v>
      </c>
      <c r="D1166" s="34" t="s">
        <v>237</v>
      </c>
      <c r="E1166" s="32">
        <v>0</v>
      </c>
      <c r="F1166" s="34" t="s">
        <v>349</v>
      </c>
      <c r="G1166" s="35">
        <v>0.62032258064516133</v>
      </c>
    </row>
    <row r="1167" spans="1:7" x14ac:dyDescent="0.2">
      <c r="A1167" s="34" t="s">
        <v>52</v>
      </c>
      <c r="B1167" s="34" t="s">
        <v>52</v>
      </c>
      <c r="C1167" s="34" t="s">
        <v>65</v>
      </c>
      <c r="D1167" s="34" t="s">
        <v>238</v>
      </c>
      <c r="E1167" s="32">
        <v>0</v>
      </c>
      <c r="F1167" s="34" t="s">
        <v>349</v>
      </c>
      <c r="G1167" s="35">
        <v>0.62032258064516133</v>
      </c>
    </row>
    <row r="1168" spans="1:7" x14ac:dyDescent="0.2">
      <c r="A1168" s="34" t="s">
        <v>52</v>
      </c>
      <c r="B1168" s="34" t="s">
        <v>52</v>
      </c>
      <c r="C1168" s="34" t="s">
        <v>65</v>
      </c>
      <c r="D1168" s="34" t="s">
        <v>239</v>
      </c>
      <c r="E1168" s="32">
        <v>0</v>
      </c>
      <c r="F1168" s="34" t="s">
        <v>349</v>
      </c>
      <c r="G1168" s="35">
        <v>0.62032258064516133</v>
      </c>
    </row>
    <row r="1169" spans="1:7" x14ac:dyDescent="0.2">
      <c r="A1169" s="34" t="s">
        <v>52</v>
      </c>
      <c r="B1169" s="34" t="s">
        <v>52</v>
      </c>
      <c r="C1169" s="34" t="s">
        <v>65</v>
      </c>
      <c r="D1169" s="34" t="s">
        <v>240</v>
      </c>
      <c r="E1169" s="32">
        <v>0</v>
      </c>
      <c r="F1169" s="34" t="s">
        <v>349</v>
      </c>
      <c r="G1169" s="35">
        <v>0.62032258064516133</v>
      </c>
    </row>
    <row r="1170" spans="1:7" x14ac:dyDescent="0.2">
      <c r="A1170" s="34" t="s">
        <v>52</v>
      </c>
      <c r="B1170" s="34" t="s">
        <v>52</v>
      </c>
      <c r="C1170" s="34" t="s">
        <v>65</v>
      </c>
      <c r="D1170" s="34" t="s">
        <v>245</v>
      </c>
      <c r="E1170" s="32">
        <v>0</v>
      </c>
      <c r="F1170" s="34" t="s">
        <v>349</v>
      </c>
      <c r="G1170" s="35">
        <v>0.62032258064516133</v>
      </c>
    </row>
    <row r="1171" spans="1:7" x14ac:dyDescent="0.2">
      <c r="A1171" s="34" t="s">
        <v>52</v>
      </c>
      <c r="B1171" s="34" t="s">
        <v>52</v>
      </c>
      <c r="C1171" s="34" t="s">
        <v>223</v>
      </c>
      <c r="D1171" s="34" t="s">
        <v>241</v>
      </c>
      <c r="E1171" s="32">
        <v>0</v>
      </c>
      <c r="F1171" s="34" t="s">
        <v>349</v>
      </c>
      <c r="G1171" s="35">
        <v>0.62032258064516133</v>
      </c>
    </row>
    <row r="1172" spans="1:7" x14ac:dyDescent="0.2">
      <c r="A1172" s="34" t="s">
        <v>52</v>
      </c>
      <c r="B1172" s="34" t="s">
        <v>52</v>
      </c>
      <c r="C1172" s="34" t="s">
        <v>223</v>
      </c>
      <c r="D1172" s="34" t="s">
        <v>246</v>
      </c>
      <c r="E1172" s="32">
        <v>0</v>
      </c>
      <c r="F1172" s="34" t="s">
        <v>349</v>
      </c>
      <c r="G1172" s="35">
        <v>0.62032258064516133</v>
      </c>
    </row>
    <row r="1173" spans="1:7" x14ac:dyDescent="0.2">
      <c r="A1173" s="34" t="s">
        <v>52</v>
      </c>
      <c r="B1173" s="34" t="s">
        <v>52</v>
      </c>
      <c r="C1173" s="34" t="s">
        <v>223</v>
      </c>
      <c r="D1173" s="34" t="s">
        <v>242</v>
      </c>
      <c r="E1173" s="32">
        <v>0</v>
      </c>
      <c r="F1173" s="34" t="s">
        <v>349</v>
      </c>
      <c r="G1173" s="35">
        <v>0.62032258064516133</v>
      </c>
    </row>
    <row r="1174" spans="1:7" x14ac:dyDescent="0.2">
      <c r="A1174" s="34" t="s">
        <v>52</v>
      </c>
      <c r="B1174" s="34" t="s">
        <v>52</v>
      </c>
      <c r="C1174" s="34" t="s">
        <v>223</v>
      </c>
      <c r="D1174" s="34" t="s">
        <v>243</v>
      </c>
      <c r="E1174" s="32">
        <v>0</v>
      </c>
      <c r="F1174" s="34" t="s">
        <v>349</v>
      </c>
      <c r="G1174" s="35">
        <v>0.62032258064516133</v>
      </c>
    </row>
    <row r="1175" spans="1:7" x14ac:dyDescent="0.2">
      <c r="A1175" s="34" t="s">
        <v>52</v>
      </c>
      <c r="B1175" s="34" t="s">
        <v>52</v>
      </c>
      <c r="C1175" s="34" t="s">
        <v>223</v>
      </c>
      <c r="D1175" s="34" t="s">
        <v>244</v>
      </c>
      <c r="E1175" s="32">
        <v>0</v>
      </c>
      <c r="F1175" s="34" t="s">
        <v>349</v>
      </c>
      <c r="G1175" s="35">
        <v>0.62032258064516133</v>
      </c>
    </row>
    <row r="1176" spans="1:7" x14ac:dyDescent="0.2">
      <c r="A1176" s="34" t="s">
        <v>52</v>
      </c>
      <c r="B1176" s="34" t="s">
        <v>221</v>
      </c>
      <c r="C1176" s="34" t="s">
        <v>65</v>
      </c>
      <c r="D1176" s="34" t="s">
        <v>225</v>
      </c>
      <c r="E1176" s="32">
        <v>0</v>
      </c>
      <c r="F1176" s="34" t="s">
        <v>349</v>
      </c>
      <c r="G1176" s="35">
        <v>0.63</v>
      </c>
    </row>
    <row r="1177" spans="1:7" x14ac:dyDescent="0.2">
      <c r="A1177" s="34" t="s">
        <v>52</v>
      </c>
      <c r="B1177" s="34" t="s">
        <v>221</v>
      </c>
      <c r="C1177" s="34" t="s">
        <v>223</v>
      </c>
      <c r="D1177" s="34" t="s">
        <v>226</v>
      </c>
      <c r="E1177" s="32">
        <v>0</v>
      </c>
      <c r="F1177" s="34" t="s">
        <v>349</v>
      </c>
      <c r="G1177" s="35">
        <v>0.63</v>
      </c>
    </row>
    <row r="1178" spans="1:7" x14ac:dyDescent="0.2">
      <c r="A1178" s="35" t="s">
        <v>75</v>
      </c>
      <c r="B1178" s="35" t="s">
        <v>75</v>
      </c>
      <c r="C1178" s="35" t="s">
        <v>65</v>
      </c>
      <c r="D1178" s="35" t="s">
        <v>233</v>
      </c>
      <c r="E1178" s="35">
        <v>1</v>
      </c>
      <c r="F1178" s="35" t="s">
        <v>349</v>
      </c>
      <c r="G1178" s="35">
        <v>0.64</v>
      </c>
    </row>
    <row r="1179" spans="1:7" x14ac:dyDescent="0.2">
      <c r="A1179" s="35" t="s">
        <v>75</v>
      </c>
      <c r="B1179" s="35" t="s">
        <v>75</v>
      </c>
      <c r="C1179" s="35" t="s">
        <v>65</v>
      </c>
      <c r="D1179" s="35" t="s">
        <v>227</v>
      </c>
      <c r="E1179" s="35">
        <v>1</v>
      </c>
      <c r="F1179" s="35" t="s">
        <v>349</v>
      </c>
      <c r="G1179" s="35">
        <v>0.64</v>
      </c>
    </row>
    <row r="1180" spans="1:7" x14ac:dyDescent="0.2">
      <c r="A1180" s="35" t="s">
        <v>75</v>
      </c>
      <c r="B1180" s="35" t="s">
        <v>75</v>
      </c>
      <c r="C1180" s="35" t="s">
        <v>65</v>
      </c>
      <c r="D1180" s="35" t="s">
        <v>228</v>
      </c>
      <c r="E1180" s="35">
        <v>1</v>
      </c>
      <c r="F1180" s="35" t="s">
        <v>349</v>
      </c>
      <c r="G1180" s="35">
        <v>0.68</v>
      </c>
    </row>
    <row r="1181" spans="1:7" x14ac:dyDescent="0.2">
      <c r="A1181" s="35" t="s">
        <v>75</v>
      </c>
      <c r="B1181" s="35" t="s">
        <v>75</v>
      </c>
      <c r="C1181" s="35" t="s">
        <v>65</v>
      </c>
      <c r="D1181" s="35" t="s">
        <v>229</v>
      </c>
      <c r="E1181" s="35">
        <v>1</v>
      </c>
      <c r="F1181" s="35" t="s">
        <v>349</v>
      </c>
      <c r="G1181" s="35">
        <v>0.66</v>
      </c>
    </row>
    <row r="1182" spans="1:7" x14ac:dyDescent="0.2">
      <c r="A1182" s="35" t="s">
        <v>75</v>
      </c>
      <c r="B1182" s="35" t="s">
        <v>75</v>
      </c>
      <c r="C1182" s="35" t="s">
        <v>65</v>
      </c>
      <c r="D1182" s="35" t="s">
        <v>234</v>
      </c>
      <c r="E1182" s="35">
        <v>1</v>
      </c>
      <c r="F1182" s="35" t="s">
        <v>349</v>
      </c>
      <c r="G1182" s="35">
        <v>0.69</v>
      </c>
    </row>
    <row r="1183" spans="1:7" x14ac:dyDescent="0.2">
      <c r="A1183" s="35" t="s">
        <v>75</v>
      </c>
      <c r="B1183" s="35" t="s">
        <v>75</v>
      </c>
      <c r="C1183" s="35" t="s">
        <v>223</v>
      </c>
      <c r="D1183" s="35" t="s">
        <v>230</v>
      </c>
      <c r="E1183" s="35">
        <v>1</v>
      </c>
      <c r="F1183" s="35" t="s">
        <v>349</v>
      </c>
      <c r="G1183" s="35">
        <v>0</v>
      </c>
    </row>
    <row r="1184" spans="1:7" x14ac:dyDescent="0.2">
      <c r="A1184" s="35" t="s">
        <v>75</v>
      </c>
      <c r="B1184" s="35" t="s">
        <v>75</v>
      </c>
      <c r="C1184" s="35" t="s">
        <v>223</v>
      </c>
      <c r="D1184" s="35" t="s">
        <v>231</v>
      </c>
      <c r="E1184" s="35">
        <v>1</v>
      </c>
      <c r="F1184" s="35" t="s">
        <v>349</v>
      </c>
      <c r="G1184" s="35">
        <v>0</v>
      </c>
    </row>
    <row r="1185" spans="1:7" x14ac:dyDescent="0.2">
      <c r="A1185" s="35" t="s">
        <v>75</v>
      </c>
      <c r="B1185" s="35" t="s">
        <v>75</v>
      </c>
      <c r="C1185" s="35" t="s">
        <v>223</v>
      </c>
      <c r="D1185" s="35" t="s">
        <v>235</v>
      </c>
      <c r="E1185" s="35">
        <v>1</v>
      </c>
      <c r="F1185" s="35" t="s">
        <v>349</v>
      </c>
      <c r="G1185" s="35">
        <v>0</v>
      </c>
    </row>
    <row r="1186" spans="1:7" x14ac:dyDescent="0.2">
      <c r="A1186" s="35" t="s">
        <v>75</v>
      </c>
      <c r="B1186" s="35" t="s">
        <v>75</v>
      </c>
      <c r="C1186" s="35" t="s">
        <v>223</v>
      </c>
      <c r="D1186" s="35" t="s">
        <v>232</v>
      </c>
      <c r="E1186" s="35">
        <v>1</v>
      </c>
      <c r="F1186" s="35" t="s">
        <v>349</v>
      </c>
      <c r="G1186" s="35">
        <v>0</v>
      </c>
    </row>
    <row r="1187" spans="1:7" x14ac:dyDescent="0.2">
      <c r="A1187" s="35" t="s">
        <v>75</v>
      </c>
      <c r="B1187" s="35" t="s">
        <v>75</v>
      </c>
      <c r="C1187" s="35" t="s">
        <v>223</v>
      </c>
      <c r="D1187" s="35" t="s">
        <v>236</v>
      </c>
      <c r="E1187" s="35">
        <v>1</v>
      </c>
      <c r="F1187" s="35" t="s">
        <v>349</v>
      </c>
      <c r="G1187" s="35">
        <v>0</v>
      </c>
    </row>
    <row r="1188" spans="1:7" x14ac:dyDescent="0.2">
      <c r="A1188" s="35" t="s">
        <v>75</v>
      </c>
      <c r="B1188" s="35" t="s">
        <v>221</v>
      </c>
      <c r="C1188" s="35" t="s">
        <v>65</v>
      </c>
      <c r="D1188" s="35" t="s">
        <v>222</v>
      </c>
      <c r="E1188" s="35">
        <v>1</v>
      </c>
      <c r="F1188" s="35" t="s">
        <v>349</v>
      </c>
      <c r="G1188" s="35">
        <v>0.63</v>
      </c>
    </row>
    <row r="1189" spans="1:7" x14ac:dyDescent="0.2">
      <c r="A1189" s="35" t="s">
        <v>75</v>
      </c>
      <c r="B1189" s="35" t="s">
        <v>221</v>
      </c>
      <c r="C1189" s="35" t="s">
        <v>223</v>
      </c>
      <c r="D1189" s="35" t="s">
        <v>224</v>
      </c>
      <c r="E1189" s="35">
        <v>1</v>
      </c>
      <c r="F1189" s="35" t="s">
        <v>349</v>
      </c>
      <c r="G1189" s="35">
        <v>0</v>
      </c>
    </row>
    <row r="1190" spans="1:7" x14ac:dyDescent="0.2">
      <c r="A1190" s="35" t="s">
        <v>52</v>
      </c>
      <c r="B1190" s="35" t="s">
        <v>52</v>
      </c>
      <c r="C1190" s="35" t="s">
        <v>65</v>
      </c>
      <c r="D1190" s="35" t="s">
        <v>237</v>
      </c>
      <c r="E1190" s="35">
        <v>1</v>
      </c>
      <c r="F1190" s="35" t="s">
        <v>349</v>
      </c>
      <c r="G1190" s="35">
        <v>0.52</v>
      </c>
    </row>
    <row r="1191" spans="1:7" x14ac:dyDescent="0.2">
      <c r="A1191" s="35" t="s">
        <v>52</v>
      </c>
      <c r="B1191" s="35" t="s">
        <v>52</v>
      </c>
      <c r="C1191" s="35" t="s">
        <v>65</v>
      </c>
      <c r="D1191" s="35" t="s">
        <v>238</v>
      </c>
      <c r="E1191" s="35">
        <v>1</v>
      </c>
      <c r="F1191" s="35" t="s">
        <v>349</v>
      </c>
      <c r="G1191" s="35">
        <v>0.56999999999999995</v>
      </c>
    </row>
    <row r="1192" spans="1:7" x14ac:dyDescent="0.2">
      <c r="A1192" s="35" t="s">
        <v>52</v>
      </c>
      <c r="B1192" s="35" t="s">
        <v>52</v>
      </c>
      <c r="C1192" s="35" t="s">
        <v>65</v>
      </c>
      <c r="D1192" s="35" t="s">
        <v>239</v>
      </c>
      <c r="E1192" s="35">
        <v>1</v>
      </c>
      <c r="F1192" s="35" t="s">
        <v>349</v>
      </c>
      <c r="G1192" s="35">
        <v>0.56000000000000005</v>
      </c>
    </row>
    <row r="1193" spans="1:7" x14ac:dyDescent="0.2">
      <c r="A1193" s="35" t="s">
        <v>52</v>
      </c>
      <c r="B1193" s="35" t="s">
        <v>52</v>
      </c>
      <c r="C1193" s="35" t="s">
        <v>65</v>
      </c>
      <c r="D1193" s="35" t="s">
        <v>240</v>
      </c>
      <c r="E1193" s="35">
        <v>1</v>
      </c>
      <c r="F1193" s="35" t="s">
        <v>349</v>
      </c>
      <c r="G1193" s="35">
        <v>0.56000000000000005</v>
      </c>
    </row>
    <row r="1194" spans="1:7" x14ac:dyDescent="0.2">
      <c r="A1194" s="35" t="s">
        <v>52</v>
      </c>
      <c r="B1194" s="35" t="s">
        <v>52</v>
      </c>
      <c r="C1194" s="35" t="s">
        <v>65</v>
      </c>
      <c r="D1194" s="35" t="s">
        <v>245</v>
      </c>
      <c r="E1194" s="35">
        <v>1</v>
      </c>
      <c r="F1194" s="35" t="s">
        <v>349</v>
      </c>
      <c r="G1194" s="35">
        <v>0.59</v>
      </c>
    </row>
    <row r="1195" spans="1:7" x14ac:dyDescent="0.2">
      <c r="A1195" s="35" t="s">
        <v>52</v>
      </c>
      <c r="B1195" s="35" t="s">
        <v>52</v>
      </c>
      <c r="C1195" s="35" t="s">
        <v>223</v>
      </c>
      <c r="D1195" s="35" t="s">
        <v>241</v>
      </c>
      <c r="E1195" s="35">
        <v>1</v>
      </c>
      <c r="F1195" s="35" t="s">
        <v>349</v>
      </c>
      <c r="G1195" s="35">
        <v>0.37</v>
      </c>
    </row>
    <row r="1196" spans="1:7" x14ac:dyDescent="0.2">
      <c r="A1196" s="35" t="s">
        <v>52</v>
      </c>
      <c r="B1196" s="35" t="s">
        <v>52</v>
      </c>
      <c r="C1196" s="35" t="s">
        <v>223</v>
      </c>
      <c r="D1196" s="35" t="s">
        <v>246</v>
      </c>
      <c r="E1196" s="35">
        <v>1</v>
      </c>
      <c r="F1196" s="35" t="s">
        <v>349</v>
      </c>
      <c r="G1196" s="35">
        <v>0.38</v>
      </c>
    </row>
    <row r="1197" spans="1:7" x14ac:dyDescent="0.2">
      <c r="A1197" s="35" t="s">
        <v>52</v>
      </c>
      <c r="B1197" s="35" t="s">
        <v>52</v>
      </c>
      <c r="C1197" s="35" t="s">
        <v>223</v>
      </c>
      <c r="D1197" s="35" t="s">
        <v>242</v>
      </c>
      <c r="E1197" s="35">
        <v>1</v>
      </c>
      <c r="F1197" s="35" t="s">
        <v>349</v>
      </c>
      <c r="G1197" s="35">
        <v>0.37</v>
      </c>
    </row>
    <row r="1198" spans="1:7" x14ac:dyDescent="0.2">
      <c r="A1198" s="35" t="s">
        <v>52</v>
      </c>
      <c r="B1198" s="35" t="s">
        <v>52</v>
      </c>
      <c r="C1198" s="35" t="s">
        <v>223</v>
      </c>
      <c r="D1198" s="35" t="s">
        <v>243</v>
      </c>
      <c r="E1198" s="35">
        <v>1</v>
      </c>
      <c r="F1198" s="35" t="s">
        <v>349</v>
      </c>
      <c r="G1198" s="35">
        <v>0.28999999999999998</v>
      </c>
    </row>
    <row r="1199" spans="1:7" x14ac:dyDescent="0.2">
      <c r="A1199" s="35" t="s">
        <v>52</v>
      </c>
      <c r="B1199" s="35" t="s">
        <v>52</v>
      </c>
      <c r="C1199" s="35" t="s">
        <v>223</v>
      </c>
      <c r="D1199" s="35" t="s">
        <v>244</v>
      </c>
      <c r="E1199" s="35">
        <v>1</v>
      </c>
      <c r="F1199" s="35" t="s">
        <v>349</v>
      </c>
      <c r="G1199" s="35">
        <v>0.36</v>
      </c>
    </row>
    <row r="1200" spans="1:7" x14ac:dyDescent="0.2">
      <c r="A1200" s="35" t="s">
        <v>52</v>
      </c>
      <c r="B1200" s="35" t="s">
        <v>221</v>
      </c>
      <c r="C1200" s="35" t="s">
        <v>65</v>
      </c>
      <c r="D1200" s="35" t="s">
        <v>225</v>
      </c>
      <c r="E1200" s="35">
        <v>1</v>
      </c>
      <c r="F1200" s="35" t="s">
        <v>349</v>
      </c>
      <c r="G1200" s="35">
        <v>0.62</v>
      </c>
    </row>
    <row r="1201" spans="1:7" x14ac:dyDescent="0.2">
      <c r="A1201" s="35" t="s">
        <v>52</v>
      </c>
      <c r="B1201" s="35" t="s">
        <v>221</v>
      </c>
      <c r="C1201" s="35" t="s">
        <v>223</v>
      </c>
      <c r="D1201" s="35" t="s">
        <v>226</v>
      </c>
      <c r="E1201" s="35">
        <v>1</v>
      </c>
      <c r="F1201" s="35" t="s">
        <v>349</v>
      </c>
      <c r="G1201" s="35">
        <v>0.36</v>
      </c>
    </row>
    <row r="1202" spans="1:7" x14ac:dyDescent="0.2">
      <c r="A1202" s="35" t="s">
        <v>75</v>
      </c>
      <c r="B1202" s="35" t="s">
        <v>75</v>
      </c>
      <c r="C1202" s="35" t="s">
        <v>65</v>
      </c>
      <c r="D1202" s="35" t="s">
        <v>233</v>
      </c>
      <c r="E1202" s="35">
        <v>2</v>
      </c>
      <c r="F1202" s="35" t="s">
        <v>349</v>
      </c>
      <c r="G1202" s="35">
        <v>0.63</v>
      </c>
    </row>
    <row r="1203" spans="1:7" x14ac:dyDescent="0.2">
      <c r="A1203" s="35" t="s">
        <v>75</v>
      </c>
      <c r="B1203" s="35" t="s">
        <v>75</v>
      </c>
      <c r="C1203" s="35" t="s">
        <v>65</v>
      </c>
      <c r="D1203" s="35" t="s">
        <v>227</v>
      </c>
      <c r="E1203" s="35">
        <v>2</v>
      </c>
      <c r="F1203" s="35" t="s">
        <v>349</v>
      </c>
      <c r="G1203" s="35">
        <v>0.64</v>
      </c>
    </row>
    <row r="1204" spans="1:7" x14ac:dyDescent="0.2">
      <c r="A1204" s="35" t="s">
        <v>75</v>
      </c>
      <c r="B1204" s="35" t="s">
        <v>75</v>
      </c>
      <c r="C1204" s="35" t="s">
        <v>65</v>
      </c>
      <c r="D1204" s="35" t="s">
        <v>228</v>
      </c>
      <c r="E1204" s="35">
        <v>2</v>
      </c>
      <c r="F1204" s="35" t="s">
        <v>349</v>
      </c>
      <c r="G1204" s="35">
        <v>0.62</v>
      </c>
    </row>
    <row r="1205" spans="1:7" x14ac:dyDescent="0.2">
      <c r="A1205" s="35" t="s">
        <v>75</v>
      </c>
      <c r="B1205" s="35" t="s">
        <v>75</v>
      </c>
      <c r="C1205" s="35" t="s">
        <v>65</v>
      </c>
      <c r="D1205" s="35" t="s">
        <v>229</v>
      </c>
      <c r="E1205" s="35">
        <v>2</v>
      </c>
      <c r="F1205" s="35" t="s">
        <v>349</v>
      </c>
      <c r="G1205" s="35">
        <v>0.63</v>
      </c>
    </row>
    <row r="1206" spans="1:7" x14ac:dyDescent="0.2">
      <c r="A1206" s="35" t="s">
        <v>75</v>
      </c>
      <c r="B1206" s="35" t="s">
        <v>75</v>
      </c>
      <c r="C1206" s="35" t="s">
        <v>65</v>
      </c>
      <c r="D1206" s="35" t="s">
        <v>234</v>
      </c>
      <c r="E1206" s="35">
        <v>2</v>
      </c>
      <c r="F1206" s="35" t="s">
        <v>349</v>
      </c>
      <c r="G1206" s="35">
        <v>0.65</v>
      </c>
    </row>
    <row r="1207" spans="1:7" x14ac:dyDescent="0.2">
      <c r="A1207" s="35" t="s">
        <v>75</v>
      </c>
      <c r="B1207" s="35" t="s">
        <v>75</v>
      </c>
      <c r="C1207" s="35" t="s">
        <v>223</v>
      </c>
      <c r="D1207" s="35" t="s">
        <v>230</v>
      </c>
      <c r="E1207" s="35">
        <v>2</v>
      </c>
      <c r="F1207" s="35" t="s">
        <v>349</v>
      </c>
      <c r="G1207" s="35">
        <v>0.57999999999999996</v>
      </c>
    </row>
    <row r="1208" spans="1:7" x14ac:dyDescent="0.2">
      <c r="A1208" s="35" t="s">
        <v>75</v>
      </c>
      <c r="B1208" s="35" t="s">
        <v>75</v>
      </c>
      <c r="C1208" s="35" t="s">
        <v>223</v>
      </c>
      <c r="D1208" s="35" t="s">
        <v>231</v>
      </c>
      <c r="E1208" s="35">
        <v>2</v>
      </c>
      <c r="F1208" s="35" t="s">
        <v>349</v>
      </c>
      <c r="G1208" s="35">
        <v>0.59</v>
      </c>
    </row>
    <row r="1209" spans="1:7" x14ac:dyDescent="0.2">
      <c r="A1209" s="35" t="s">
        <v>75</v>
      </c>
      <c r="B1209" s="35" t="s">
        <v>75</v>
      </c>
      <c r="C1209" s="35" t="s">
        <v>223</v>
      </c>
      <c r="D1209" s="35" t="s">
        <v>235</v>
      </c>
      <c r="E1209" s="35">
        <v>2</v>
      </c>
      <c r="F1209" s="35" t="s">
        <v>349</v>
      </c>
      <c r="G1209" s="35">
        <v>0.61</v>
      </c>
    </row>
    <row r="1210" spans="1:7" x14ac:dyDescent="0.2">
      <c r="A1210" s="35" t="s">
        <v>75</v>
      </c>
      <c r="B1210" s="35" t="s">
        <v>75</v>
      </c>
      <c r="C1210" s="35" t="s">
        <v>223</v>
      </c>
      <c r="D1210" s="35" t="s">
        <v>232</v>
      </c>
      <c r="E1210" s="35">
        <v>2</v>
      </c>
      <c r="F1210" s="35" t="s">
        <v>349</v>
      </c>
      <c r="G1210" s="35">
        <v>0.6</v>
      </c>
    </row>
    <row r="1211" spans="1:7" x14ac:dyDescent="0.2">
      <c r="A1211" s="35" t="s">
        <v>75</v>
      </c>
      <c r="B1211" s="35" t="s">
        <v>75</v>
      </c>
      <c r="C1211" s="35" t="s">
        <v>223</v>
      </c>
      <c r="D1211" s="35" t="s">
        <v>236</v>
      </c>
      <c r="E1211" s="35">
        <v>2</v>
      </c>
      <c r="F1211" s="35" t="s">
        <v>349</v>
      </c>
      <c r="G1211" s="35">
        <v>0.6</v>
      </c>
    </row>
    <row r="1212" spans="1:7" x14ac:dyDescent="0.2">
      <c r="A1212" s="35" t="s">
        <v>75</v>
      </c>
      <c r="B1212" s="35" t="s">
        <v>221</v>
      </c>
      <c r="C1212" s="35" t="s">
        <v>65</v>
      </c>
      <c r="D1212" s="35" t="s">
        <v>222</v>
      </c>
      <c r="E1212" s="35">
        <v>2</v>
      </c>
      <c r="F1212" s="35" t="s">
        <v>349</v>
      </c>
      <c r="G1212" s="35">
        <v>0.63</v>
      </c>
    </row>
    <row r="1213" spans="1:7" x14ac:dyDescent="0.2">
      <c r="A1213" s="35" t="s">
        <v>75</v>
      </c>
      <c r="B1213" s="35" t="s">
        <v>221</v>
      </c>
      <c r="C1213" s="35" t="s">
        <v>223</v>
      </c>
      <c r="D1213" s="35" t="s">
        <v>224</v>
      </c>
      <c r="E1213" s="35">
        <v>2</v>
      </c>
      <c r="F1213" s="35" t="s">
        <v>349</v>
      </c>
      <c r="G1213" s="35">
        <v>0.6</v>
      </c>
    </row>
    <row r="1214" spans="1:7" x14ac:dyDescent="0.2">
      <c r="A1214" s="35" t="s">
        <v>52</v>
      </c>
      <c r="B1214" s="35" t="s">
        <v>52</v>
      </c>
      <c r="C1214" s="35" t="s">
        <v>65</v>
      </c>
      <c r="D1214" s="35" t="s">
        <v>237</v>
      </c>
      <c r="E1214" s="35">
        <v>2</v>
      </c>
      <c r="F1214" s="35" t="s">
        <v>349</v>
      </c>
      <c r="G1214" s="35">
        <v>0.61</v>
      </c>
    </row>
    <row r="1215" spans="1:7" x14ac:dyDescent="0.2">
      <c r="A1215" s="35" t="s">
        <v>52</v>
      </c>
      <c r="B1215" s="35" t="s">
        <v>52</v>
      </c>
      <c r="C1215" s="35" t="s">
        <v>65</v>
      </c>
      <c r="D1215" s="35" t="s">
        <v>238</v>
      </c>
      <c r="E1215" s="35">
        <v>2</v>
      </c>
      <c r="F1215" s="35" t="s">
        <v>349</v>
      </c>
      <c r="G1215" s="35">
        <v>0.64</v>
      </c>
    </row>
    <row r="1216" spans="1:7" x14ac:dyDescent="0.2">
      <c r="A1216" s="35" t="s">
        <v>52</v>
      </c>
      <c r="B1216" s="35" t="s">
        <v>52</v>
      </c>
      <c r="C1216" s="35" t="s">
        <v>65</v>
      </c>
      <c r="D1216" s="35" t="s">
        <v>239</v>
      </c>
      <c r="E1216" s="35">
        <v>2</v>
      </c>
      <c r="F1216" s="35" t="s">
        <v>349</v>
      </c>
      <c r="G1216" s="35">
        <v>0.61</v>
      </c>
    </row>
    <row r="1217" spans="1:7" x14ac:dyDescent="0.2">
      <c r="A1217" s="35" t="s">
        <v>52</v>
      </c>
      <c r="B1217" s="35" t="s">
        <v>52</v>
      </c>
      <c r="C1217" s="35" t="s">
        <v>65</v>
      </c>
      <c r="D1217" s="35" t="s">
        <v>240</v>
      </c>
      <c r="E1217" s="35">
        <v>2</v>
      </c>
      <c r="F1217" s="35" t="s">
        <v>349</v>
      </c>
      <c r="G1217" s="35">
        <v>0.64</v>
      </c>
    </row>
    <row r="1218" spans="1:7" x14ac:dyDescent="0.2">
      <c r="A1218" s="35" t="s">
        <v>52</v>
      </c>
      <c r="B1218" s="35" t="s">
        <v>52</v>
      </c>
      <c r="C1218" s="35" t="s">
        <v>65</v>
      </c>
      <c r="D1218" s="35" t="s">
        <v>245</v>
      </c>
      <c r="E1218" s="35">
        <v>2</v>
      </c>
      <c r="F1218" s="35" t="s">
        <v>349</v>
      </c>
      <c r="G1218" s="35">
        <v>0.64</v>
      </c>
    </row>
    <row r="1219" spans="1:7" x14ac:dyDescent="0.2">
      <c r="A1219" s="35" t="s">
        <v>52</v>
      </c>
      <c r="B1219" s="35" t="s">
        <v>52</v>
      </c>
      <c r="C1219" s="35" t="s">
        <v>223</v>
      </c>
      <c r="D1219" s="35" t="s">
        <v>241</v>
      </c>
      <c r="E1219" s="35">
        <v>2</v>
      </c>
      <c r="F1219" s="35" t="s">
        <v>349</v>
      </c>
      <c r="G1219" s="35">
        <v>0.5</v>
      </c>
    </row>
    <row r="1220" spans="1:7" x14ac:dyDescent="0.2">
      <c r="A1220" s="35" t="s">
        <v>52</v>
      </c>
      <c r="B1220" s="35" t="s">
        <v>52</v>
      </c>
      <c r="C1220" s="35" t="s">
        <v>223</v>
      </c>
      <c r="D1220" s="35" t="s">
        <v>246</v>
      </c>
      <c r="E1220" s="35">
        <v>2</v>
      </c>
      <c r="F1220" s="35" t="s">
        <v>349</v>
      </c>
      <c r="G1220" s="35">
        <v>0.49</v>
      </c>
    </row>
    <row r="1221" spans="1:7" x14ac:dyDescent="0.2">
      <c r="A1221" s="35" t="s">
        <v>52</v>
      </c>
      <c r="B1221" s="35" t="s">
        <v>52</v>
      </c>
      <c r="C1221" s="35" t="s">
        <v>223</v>
      </c>
      <c r="D1221" s="35" t="s">
        <v>242</v>
      </c>
      <c r="E1221" s="35">
        <v>2</v>
      </c>
      <c r="F1221" s="35" t="s">
        <v>349</v>
      </c>
      <c r="G1221" s="35">
        <v>0.51</v>
      </c>
    </row>
    <row r="1222" spans="1:7" x14ac:dyDescent="0.2">
      <c r="A1222" s="35" t="s">
        <v>52</v>
      </c>
      <c r="B1222" s="35" t="s">
        <v>52</v>
      </c>
      <c r="C1222" s="35" t="s">
        <v>223</v>
      </c>
      <c r="D1222" s="35" t="s">
        <v>243</v>
      </c>
      <c r="E1222" s="35">
        <v>2</v>
      </c>
      <c r="F1222" s="35" t="s">
        <v>349</v>
      </c>
      <c r="G1222" s="35">
        <v>0.54</v>
      </c>
    </row>
    <row r="1223" spans="1:7" x14ac:dyDescent="0.2">
      <c r="A1223" s="35" t="s">
        <v>52</v>
      </c>
      <c r="B1223" s="35" t="s">
        <v>52</v>
      </c>
      <c r="C1223" s="35" t="s">
        <v>223</v>
      </c>
      <c r="D1223" s="35" t="s">
        <v>244</v>
      </c>
      <c r="E1223" s="35">
        <v>2</v>
      </c>
      <c r="F1223" s="35" t="s">
        <v>349</v>
      </c>
      <c r="G1223" s="35">
        <v>0.51</v>
      </c>
    </row>
    <row r="1224" spans="1:7" x14ac:dyDescent="0.2">
      <c r="A1224" s="35" t="s">
        <v>52</v>
      </c>
      <c r="B1224" s="35" t="s">
        <v>221</v>
      </c>
      <c r="C1224" s="35" t="s">
        <v>65</v>
      </c>
      <c r="D1224" s="35" t="s">
        <v>225</v>
      </c>
      <c r="E1224" s="35">
        <v>2</v>
      </c>
      <c r="F1224" s="35" t="s">
        <v>349</v>
      </c>
      <c r="G1224" s="35">
        <v>0.63</v>
      </c>
    </row>
    <row r="1225" spans="1:7" x14ac:dyDescent="0.2">
      <c r="A1225" s="35" t="s">
        <v>52</v>
      </c>
      <c r="B1225" s="35" t="s">
        <v>221</v>
      </c>
      <c r="C1225" s="35" t="s">
        <v>223</v>
      </c>
      <c r="D1225" s="35" t="s">
        <v>226</v>
      </c>
      <c r="E1225" s="35">
        <v>2</v>
      </c>
      <c r="F1225" s="35" t="s">
        <v>349</v>
      </c>
      <c r="G1225" s="35">
        <v>0.56000000000000005</v>
      </c>
    </row>
    <row r="1226" spans="1:7" x14ac:dyDescent="0.2">
      <c r="A1226" s="35" t="s">
        <v>75</v>
      </c>
      <c r="B1226" s="35" t="s">
        <v>75</v>
      </c>
      <c r="C1226" s="35" t="s">
        <v>65</v>
      </c>
      <c r="D1226" s="35" t="s">
        <v>233</v>
      </c>
      <c r="E1226" s="35">
        <v>3</v>
      </c>
      <c r="F1226" s="35" t="s">
        <v>349</v>
      </c>
      <c r="G1226" s="35">
        <v>0.64</v>
      </c>
    </row>
    <row r="1227" spans="1:7" x14ac:dyDescent="0.2">
      <c r="A1227" s="35" t="s">
        <v>75</v>
      </c>
      <c r="B1227" s="35" t="s">
        <v>75</v>
      </c>
      <c r="C1227" s="35" t="s">
        <v>65</v>
      </c>
      <c r="D1227" s="35" t="s">
        <v>227</v>
      </c>
      <c r="E1227" s="35">
        <v>3</v>
      </c>
      <c r="F1227" s="35" t="s">
        <v>349</v>
      </c>
      <c r="G1227" s="35">
        <v>0.65</v>
      </c>
    </row>
    <row r="1228" spans="1:7" x14ac:dyDescent="0.2">
      <c r="A1228" s="35" t="s">
        <v>75</v>
      </c>
      <c r="B1228" s="35" t="s">
        <v>75</v>
      </c>
      <c r="C1228" s="35" t="s">
        <v>65</v>
      </c>
      <c r="D1228" s="35" t="s">
        <v>228</v>
      </c>
      <c r="E1228" s="35">
        <v>3</v>
      </c>
      <c r="F1228" s="35" t="s">
        <v>349</v>
      </c>
      <c r="G1228" s="35">
        <v>0.66</v>
      </c>
    </row>
    <row r="1229" spans="1:7" x14ac:dyDescent="0.2">
      <c r="A1229" s="35" t="s">
        <v>75</v>
      </c>
      <c r="B1229" s="35" t="s">
        <v>75</v>
      </c>
      <c r="C1229" s="35" t="s">
        <v>65</v>
      </c>
      <c r="D1229" s="35" t="s">
        <v>229</v>
      </c>
      <c r="E1229" s="35">
        <v>3</v>
      </c>
      <c r="F1229" s="35" t="s">
        <v>349</v>
      </c>
      <c r="G1229" s="35">
        <v>0.65</v>
      </c>
    </row>
    <row r="1230" spans="1:7" x14ac:dyDescent="0.2">
      <c r="A1230" s="35" t="s">
        <v>75</v>
      </c>
      <c r="B1230" s="35" t="s">
        <v>75</v>
      </c>
      <c r="C1230" s="35" t="s">
        <v>65</v>
      </c>
      <c r="D1230" s="35" t="s">
        <v>234</v>
      </c>
      <c r="E1230" s="35">
        <v>3</v>
      </c>
      <c r="F1230" s="35" t="s">
        <v>349</v>
      </c>
      <c r="G1230" s="35">
        <v>0.66</v>
      </c>
    </row>
    <row r="1231" spans="1:7" x14ac:dyDescent="0.2">
      <c r="A1231" s="35" t="s">
        <v>75</v>
      </c>
      <c r="B1231" s="35" t="s">
        <v>75</v>
      </c>
      <c r="C1231" s="35" t="s">
        <v>223</v>
      </c>
      <c r="D1231" s="35" t="s">
        <v>230</v>
      </c>
      <c r="E1231" s="35">
        <v>3</v>
      </c>
      <c r="F1231" s="35" t="s">
        <v>349</v>
      </c>
      <c r="G1231" s="35">
        <v>0.64</v>
      </c>
    </row>
    <row r="1232" spans="1:7" x14ac:dyDescent="0.2">
      <c r="A1232" s="35" t="s">
        <v>75</v>
      </c>
      <c r="B1232" s="35" t="s">
        <v>75</v>
      </c>
      <c r="C1232" s="35" t="s">
        <v>223</v>
      </c>
      <c r="D1232" s="35" t="s">
        <v>231</v>
      </c>
      <c r="E1232" s="35">
        <v>3</v>
      </c>
      <c r="F1232" s="35" t="s">
        <v>349</v>
      </c>
      <c r="G1232" s="35">
        <v>0.64</v>
      </c>
    </row>
    <row r="1233" spans="1:7" x14ac:dyDescent="0.2">
      <c r="A1233" s="35" t="s">
        <v>75</v>
      </c>
      <c r="B1233" s="35" t="s">
        <v>75</v>
      </c>
      <c r="C1233" s="35" t="s">
        <v>223</v>
      </c>
      <c r="D1233" s="35" t="s">
        <v>235</v>
      </c>
      <c r="E1233" s="35">
        <v>3</v>
      </c>
      <c r="F1233" s="35" t="s">
        <v>349</v>
      </c>
      <c r="G1233" s="35">
        <v>0.61</v>
      </c>
    </row>
    <row r="1234" spans="1:7" x14ac:dyDescent="0.2">
      <c r="A1234" s="35" t="s">
        <v>75</v>
      </c>
      <c r="B1234" s="35" t="s">
        <v>75</v>
      </c>
      <c r="C1234" s="35" t="s">
        <v>223</v>
      </c>
      <c r="D1234" s="35" t="s">
        <v>232</v>
      </c>
      <c r="E1234" s="35">
        <v>3</v>
      </c>
      <c r="F1234" s="35" t="s">
        <v>349</v>
      </c>
      <c r="G1234" s="35">
        <v>0.64</v>
      </c>
    </row>
    <row r="1235" spans="1:7" x14ac:dyDescent="0.2">
      <c r="A1235" s="35" t="s">
        <v>75</v>
      </c>
      <c r="B1235" s="35" t="s">
        <v>75</v>
      </c>
      <c r="C1235" s="35" t="s">
        <v>223</v>
      </c>
      <c r="D1235" s="35" t="s">
        <v>236</v>
      </c>
      <c r="E1235" s="35">
        <v>3</v>
      </c>
      <c r="F1235" s="35" t="s">
        <v>349</v>
      </c>
      <c r="G1235" s="35">
        <v>0.63</v>
      </c>
    </row>
    <row r="1236" spans="1:7" x14ac:dyDescent="0.2">
      <c r="A1236" s="35" t="s">
        <v>75</v>
      </c>
      <c r="B1236" s="35" t="s">
        <v>221</v>
      </c>
      <c r="C1236" s="35" t="s">
        <v>65</v>
      </c>
      <c r="D1236" s="35" t="s">
        <v>222</v>
      </c>
      <c r="E1236" s="35">
        <v>3</v>
      </c>
      <c r="F1236" s="35" t="s">
        <v>349</v>
      </c>
      <c r="G1236" s="35">
        <v>0.66</v>
      </c>
    </row>
    <row r="1237" spans="1:7" x14ac:dyDescent="0.2">
      <c r="A1237" s="35" t="s">
        <v>75</v>
      </c>
      <c r="B1237" s="35" t="s">
        <v>221</v>
      </c>
      <c r="C1237" s="35" t="s">
        <v>223</v>
      </c>
      <c r="D1237" s="35" t="s">
        <v>224</v>
      </c>
      <c r="E1237" s="35">
        <v>3</v>
      </c>
      <c r="F1237" s="35" t="s">
        <v>349</v>
      </c>
      <c r="G1237" s="35">
        <v>0.65</v>
      </c>
    </row>
    <row r="1238" spans="1:7" x14ac:dyDescent="0.2">
      <c r="A1238" s="35" t="s">
        <v>52</v>
      </c>
      <c r="B1238" s="35" t="s">
        <v>52</v>
      </c>
      <c r="C1238" s="35" t="s">
        <v>65</v>
      </c>
      <c r="D1238" s="35" t="s">
        <v>237</v>
      </c>
      <c r="E1238" s="35">
        <v>3</v>
      </c>
      <c r="F1238" s="35" t="s">
        <v>349</v>
      </c>
      <c r="G1238" s="35">
        <v>0.62</v>
      </c>
    </row>
    <row r="1239" spans="1:7" x14ac:dyDescent="0.2">
      <c r="A1239" s="35" t="s">
        <v>52</v>
      </c>
      <c r="B1239" s="35" t="s">
        <v>52</v>
      </c>
      <c r="C1239" s="35" t="s">
        <v>65</v>
      </c>
      <c r="D1239" s="35" t="s">
        <v>238</v>
      </c>
      <c r="E1239" s="35">
        <v>3</v>
      </c>
      <c r="F1239" s="35" t="s">
        <v>349</v>
      </c>
      <c r="G1239" s="35">
        <v>0.64</v>
      </c>
    </row>
    <row r="1240" spans="1:7" x14ac:dyDescent="0.2">
      <c r="A1240" s="35" t="s">
        <v>52</v>
      </c>
      <c r="B1240" s="35" t="s">
        <v>52</v>
      </c>
      <c r="C1240" s="35" t="s">
        <v>65</v>
      </c>
      <c r="D1240" s="35" t="s">
        <v>239</v>
      </c>
      <c r="E1240" s="35">
        <v>3</v>
      </c>
      <c r="F1240" s="35" t="s">
        <v>349</v>
      </c>
      <c r="G1240" s="35">
        <v>0.64</v>
      </c>
    </row>
    <row r="1241" spans="1:7" x14ac:dyDescent="0.2">
      <c r="A1241" s="35" t="s">
        <v>52</v>
      </c>
      <c r="B1241" s="35" t="s">
        <v>52</v>
      </c>
      <c r="C1241" s="35" t="s">
        <v>65</v>
      </c>
      <c r="D1241" s="35" t="s">
        <v>240</v>
      </c>
      <c r="E1241" s="35">
        <v>3</v>
      </c>
      <c r="F1241" s="35" t="s">
        <v>349</v>
      </c>
      <c r="G1241" s="35">
        <v>0.63</v>
      </c>
    </row>
    <row r="1242" spans="1:7" x14ac:dyDescent="0.2">
      <c r="A1242" s="35" t="s">
        <v>52</v>
      </c>
      <c r="B1242" s="35" t="s">
        <v>52</v>
      </c>
      <c r="C1242" s="35" t="s">
        <v>65</v>
      </c>
      <c r="D1242" s="35" t="s">
        <v>245</v>
      </c>
      <c r="E1242" s="35">
        <v>3</v>
      </c>
      <c r="F1242" s="35" t="s">
        <v>349</v>
      </c>
      <c r="G1242" s="35">
        <v>0.6</v>
      </c>
    </row>
    <row r="1243" spans="1:7" x14ac:dyDescent="0.2">
      <c r="A1243" s="35" t="s">
        <v>52</v>
      </c>
      <c r="B1243" s="35" t="s">
        <v>52</v>
      </c>
      <c r="C1243" s="35" t="s">
        <v>223</v>
      </c>
      <c r="D1243" s="35" t="s">
        <v>241</v>
      </c>
      <c r="E1243" s="35">
        <v>3</v>
      </c>
      <c r="F1243" s="35" t="s">
        <v>349</v>
      </c>
      <c r="G1243" s="35">
        <v>0.64</v>
      </c>
    </row>
    <row r="1244" spans="1:7" x14ac:dyDescent="0.2">
      <c r="A1244" s="35" t="s">
        <v>52</v>
      </c>
      <c r="B1244" s="35" t="s">
        <v>52</v>
      </c>
      <c r="C1244" s="35" t="s">
        <v>223</v>
      </c>
      <c r="D1244" s="35" t="s">
        <v>246</v>
      </c>
      <c r="E1244" s="35">
        <v>3</v>
      </c>
      <c r="F1244" s="35" t="s">
        <v>349</v>
      </c>
      <c r="G1244" s="35">
        <v>0.63</v>
      </c>
    </row>
    <row r="1245" spans="1:7" x14ac:dyDescent="0.2">
      <c r="A1245" s="35" t="s">
        <v>52</v>
      </c>
      <c r="B1245" s="35" t="s">
        <v>52</v>
      </c>
      <c r="C1245" s="35" t="s">
        <v>223</v>
      </c>
      <c r="D1245" s="35" t="s">
        <v>242</v>
      </c>
      <c r="E1245" s="35">
        <v>3</v>
      </c>
      <c r="F1245" s="35" t="s">
        <v>349</v>
      </c>
      <c r="G1245" s="35">
        <v>0.62</v>
      </c>
    </row>
    <row r="1246" spans="1:7" x14ac:dyDescent="0.2">
      <c r="A1246" s="35" t="s">
        <v>52</v>
      </c>
      <c r="B1246" s="35" t="s">
        <v>52</v>
      </c>
      <c r="C1246" s="35" t="s">
        <v>223</v>
      </c>
      <c r="D1246" s="35" t="s">
        <v>243</v>
      </c>
      <c r="E1246" s="35">
        <v>3</v>
      </c>
      <c r="F1246" s="35" t="s">
        <v>349</v>
      </c>
      <c r="G1246" s="35">
        <v>0.66</v>
      </c>
    </row>
    <row r="1247" spans="1:7" x14ac:dyDescent="0.2">
      <c r="A1247" s="35" t="s">
        <v>52</v>
      </c>
      <c r="B1247" s="35" t="s">
        <v>52</v>
      </c>
      <c r="C1247" s="35" t="s">
        <v>223</v>
      </c>
      <c r="D1247" s="35" t="s">
        <v>244</v>
      </c>
      <c r="E1247" s="35">
        <v>3</v>
      </c>
      <c r="F1247" s="35" t="s">
        <v>349</v>
      </c>
      <c r="G1247" s="35">
        <v>0.61</v>
      </c>
    </row>
    <row r="1248" spans="1:7" x14ac:dyDescent="0.2">
      <c r="A1248" s="35" t="s">
        <v>52</v>
      </c>
      <c r="B1248" s="35" t="s">
        <v>221</v>
      </c>
      <c r="C1248" s="35" t="s">
        <v>65</v>
      </c>
      <c r="D1248" s="35" t="s">
        <v>225</v>
      </c>
      <c r="E1248" s="35">
        <v>3</v>
      </c>
      <c r="F1248" s="35" t="s">
        <v>349</v>
      </c>
      <c r="G1248" s="35">
        <v>0.65</v>
      </c>
    </row>
    <row r="1249" spans="1:7" x14ac:dyDescent="0.2">
      <c r="A1249" s="35" t="s">
        <v>52</v>
      </c>
      <c r="B1249" s="35" t="s">
        <v>221</v>
      </c>
      <c r="C1249" s="35" t="s">
        <v>223</v>
      </c>
      <c r="D1249" s="35" t="s">
        <v>226</v>
      </c>
      <c r="E1249" s="35">
        <v>3</v>
      </c>
      <c r="F1249" s="35" t="s">
        <v>349</v>
      </c>
      <c r="G1249" s="35">
        <v>0.63</v>
      </c>
    </row>
    <row r="1250" spans="1:7" x14ac:dyDescent="0.2">
      <c r="A1250" s="35" t="s">
        <v>75</v>
      </c>
      <c r="B1250" s="35" t="s">
        <v>75</v>
      </c>
      <c r="C1250" s="35" t="s">
        <v>65</v>
      </c>
      <c r="D1250" s="35" t="s">
        <v>233</v>
      </c>
      <c r="E1250" s="35">
        <v>6</v>
      </c>
      <c r="F1250" s="35" t="s">
        <v>349</v>
      </c>
      <c r="G1250" s="35">
        <v>0.64</v>
      </c>
    </row>
    <row r="1251" spans="1:7" x14ac:dyDescent="0.2">
      <c r="A1251" s="35" t="s">
        <v>75</v>
      </c>
      <c r="B1251" s="35" t="s">
        <v>75</v>
      </c>
      <c r="C1251" s="35" t="s">
        <v>65</v>
      </c>
      <c r="D1251" s="35" t="s">
        <v>227</v>
      </c>
      <c r="E1251" s="35">
        <v>6</v>
      </c>
      <c r="F1251" s="35" t="s">
        <v>349</v>
      </c>
      <c r="G1251" s="35">
        <v>0.65</v>
      </c>
    </row>
    <row r="1252" spans="1:7" x14ac:dyDescent="0.2">
      <c r="A1252" s="35" t="s">
        <v>75</v>
      </c>
      <c r="B1252" s="35" t="s">
        <v>75</v>
      </c>
      <c r="C1252" s="35" t="s">
        <v>65</v>
      </c>
      <c r="D1252" s="35" t="s">
        <v>228</v>
      </c>
      <c r="E1252" s="35">
        <v>6</v>
      </c>
      <c r="F1252" s="35" t="s">
        <v>349</v>
      </c>
      <c r="G1252" s="35">
        <v>0.65</v>
      </c>
    </row>
    <row r="1253" spans="1:7" x14ac:dyDescent="0.2">
      <c r="A1253" s="35" t="s">
        <v>75</v>
      </c>
      <c r="B1253" s="35" t="s">
        <v>75</v>
      </c>
      <c r="C1253" s="35" t="s">
        <v>65</v>
      </c>
      <c r="D1253" s="35" t="s">
        <v>229</v>
      </c>
      <c r="E1253" s="35">
        <v>6</v>
      </c>
      <c r="F1253" s="35" t="s">
        <v>349</v>
      </c>
      <c r="G1253" s="35">
        <v>0.65</v>
      </c>
    </row>
    <row r="1254" spans="1:7" x14ac:dyDescent="0.2">
      <c r="A1254" s="35" t="s">
        <v>75</v>
      </c>
      <c r="B1254" s="35" t="s">
        <v>75</v>
      </c>
      <c r="C1254" s="35" t="s">
        <v>65</v>
      </c>
      <c r="D1254" s="35" t="s">
        <v>234</v>
      </c>
      <c r="E1254" s="35">
        <v>6</v>
      </c>
      <c r="F1254" s="35" t="s">
        <v>349</v>
      </c>
      <c r="G1254" s="35">
        <v>0.65</v>
      </c>
    </row>
    <row r="1255" spans="1:7" x14ac:dyDescent="0.2">
      <c r="A1255" s="35" t="s">
        <v>75</v>
      </c>
      <c r="B1255" s="35" t="s">
        <v>75</v>
      </c>
      <c r="C1255" s="35" t="s">
        <v>223</v>
      </c>
      <c r="D1255" s="35" t="s">
        <v>230</v>
      </c>
      <c r="E1255" s="35">
        <v>6</v>
      </c>
      <c r="F1255" s="35" t="s">
        <v>349</v>
      </c>
      <c r="G1255" s="35">
        <v>0.63</v>
      </c>
    </row>
    <row r="1256" spans="1:7" x14ac:dyDescent="0.2">
      <c r="A1256" s="35" t="s">
        <v>75</v>
      </c>
      <c r="B1256" s="35" t="s">
        <v>75</v>
      </c>
      <c r="C1256" s="35" t="s">
        <v>223</v>
      </c>
      <c r="D1256" s="35" t="s">
        <v>231</v>
      </c>
      <c r="E1256" s="35">
        <v>6</v>
      </c>
      <c r="F1256" s="35" t="s">
        <v>349</v>
      </c>
      <c r="G1256" s="35">
        <v>0.67</v>
      </c>
    </row>
    <row r="1257" spans="1:7" x14ac:dyDescent="0.2">
      <c r="A1257" s="35" t="s">
        <v>75</v>
      </c>
      <c r="B1257" s="35" t="s">
        <v>75</v>
      </c>
      <c r="C1257" s="35" t="s">
        <v>223</v>
      </c>
      <c r="D1257" s="35" t="s">
        <v>235</v>
      </c>
      <c r="E1257" s="35">
        <v>6</v>
      </c>
      <c r="F1257" s="35" t="s">
        <v>349</v>
      </c>
      <c r="G1257" s="35">
        <v>0.64</v>
      </c>
    </row>
    <row r="1258" spans="1:7" x14ac:dyDescent="0.2">
      <c r="A1258" s="35" t="s">
        <v>75</v>
      </c>
      <c r="B1258" s="35" t="s">
        <v>75</v>
      </c>
      <c r="C1258" s="35" t="s">
        <v>223</v>
      </c>
      <c r="D1258" s="35" t="s">
        <v>232</v>
      </c>
      <c r="E1258" s="35">
        <v>6</v>
      </c>
      <c r="F1258" s="35" t="s">
        <v>349</v>
      </c>
      <c r="G1258" s="35">
        <v>0.64</v>
      </c>
    </row>
    <row r="1259" spans="1:7" x14ac:dyDescent="0.2">
      <c r="A1259" s="35" t="s">
        <v>75</v>
      </c>
      <c r="B1259" s="35" t="s">
        <v>75</v>
      </c>
      <c r="C1259" s="35" t="s">
        <v>223</v>
      </c>
      <c r="D1259" s="35" t="s">
        <v>236</v>
      </c>
      <c r="E1259" s="35">
        <v>6</v>
      </c>
      <c r="F1259" s="35" t="s">
        <v>349</v>
      </c>
      <c r="G1259" s="35">
        <v>0.62</v>
      </c>
    </row>
    <row r="1260" spans="1:7" x14ac:dyDescent="0.2">
      <c r="A1260" s="35" t="s">
        <v>75</v>
      </c>
      <c r="B1260" s="35" t="s">
        <v>221</v>
      </c>
      <c r="C1260" s="35" t="s">
        <v>65</v>
      </c>
      <c r="D1260" s="35" t="s">
        <v>222</v>
      </c>
      <c r="E1260" s="35">
        <v>6</v>
      </c>
      <c r="F1260" s="35" t="s">
        <v>349</v>
      </c>
      <c r="G1260" s="35">
        <v>0.67</v>
      </c>
    </row>
    <row r="1261" spans="1:7" x14ac:dyDescent="0.2">
      <c r="A1261" s="35" t="s">
        <v>75</v>
      </c>
      <c r="B1261" s="35" t="s">
        <v>221</v>
      </c>
      <c r="C1261" s="35" t="s">
        <v>223</v>
      </c>
      <c r="D1261" s="35" t="s">
        <v>224</v>
      </c>
      <c r="E1261" s="35">
        <v>6</v>
      </c>
      <c r="F1261" s="35" t="s">
        <v>349</v>
      </c>
      <c r="G1261" s="35">
        <v>0.68</v>
      </c>
    </row>
    <row r="1262" spans="1:7" x14ac:dyDescent="0.2">
      <c r="A1262" s="35" t="s">
        <v>52</v>
      </c>
      <c r="B1262" s="35" t="s">
        <v>52</v>
      </c>
      <c r="C1262" s="35" t="s">
        <v>65</v>
      </c>
      <c r="D1262" s="35" t="s">
        <v>237</v>
      </c>
      <c r="E1262" s="35">
        <v>6</v>
      </c>
      <c r="F1262" s="35" t="s">
        <v>349</v>
      </c>
      <c r="G1262" s="35">
        <v>0.67</v>
      </c>
    </row>
    <row r="1263" spans="1:7" x14ac:dyDescent="0.2">
      <c r="A1263" s="35" t="s">
        <v>52</v>
      </c>
      <c r="B1263" s="35" t="s">
        <v>52</v>
      </c>
      <c r="C1263" s="35" t="s">
        <v>65</v>
      </c>
      <c r="D1263" s="35" t="s">
        <v>238</v>
      </c>
      <c r="E1263" s="35">
        <v>6</v>
      </c>
      <c r="F1263" s="35" t="s">
        <v>349</v>
      </c>
      <c r="G1263" s="35">
        <v>0.66</v>
      </c>
    </row>
    <row r="1264" spans="1:7" x14ac:dyDescent="0.2">
      <c r="A1264" s="35" t="s">
        <v>52</v>
      </c>
      <c r="B1264" s="35" t="s">
        <v>52</v>
      </c>
      <c r="C1264" s="35" t="s">
        <v>65</v>
      </c>
      <c r="D1264" s="35" t="s">
        <v>239</v>
      </c>
      <c r="E1264" s="35">
        <v>6</v>
      </c>
      <c r="F1264" s="35" t="s">
        <v>349</v>
      </c>
      <c r="G1264" s="35">
        <v>0.65</v>
      </c>
    </row>
    <row r="1265" spans="1:7" x14ac:dyDescent="0.2">
      <c r="A1265" s="35" t="s">
        <v>52</v>
      </c>
      <c r="B1265" s="35" t="s">
        <v>52</v>
      </c>
      <c r="C1265" s="35" t="s">
        <v>65</v>
      </c>
      <c r="D1265" s="35" t="s">
        <v>240</v>
      </c>
      <c r="E1265" s="35">
        <v>6</v>
      </c>
      <c r="F1265" s="35" t="s">
        <v>349</v>
      </c>
      <c r="G1265" s="35">
        <v>0.65</v>
      </c>
    </row>
    <row r="1266" spans="1:7" x14ac:dyDescent="0.2">
      <c r="A1266" s="35" t="s">
        <v>52</v>
      </c>
      <c r="B1266" s="35" t="s">
        <v>52</v>
      </c>
      <c r="C1266" s="35" t="s">
        <v>65</v>
      </c>
      <c r="D1266" s="35" t="s">
        <v>245</v>
      </c>
      <c r="E1266" s="35">
        <v>6</v>
      </c>
      <c r="F1266" s="35" t="s">
        <v>349</v>
      </c>
      <c r="G1266" s="35">
        <v>0.66</v>
      </c>
    </row>
    <row r="1267" spans="1:7" x14ac:dyDescent="0.2">
      <c r="A1267" s="35" t="s">
        <v>52</v>
      </c>
      <c r="B1267" s="35" t="s">
        <v>52</v>
      </c>
      <c r="C1267" s="35" t="s">
        <v>223</v>
      </c>
      <c r="D1267" s="35" t="s">
        <v>241</v>
      </c>
      <c r="E1267" s="35">
        <v>6</v>
      </c>
      <c r="F1267" s="35" t="s">
        <v>349</v>
      </c>
      <c r="G1267" s="35">
        <v>0.66</v>
      </c>
    </row>
    <row r="1268" spans="1:7" x14ac:dyDescent="0.2">
      <c r="A1268" s="35" t="s">
        <v>52</v>
      </c>
      <c r="B1268" s="35" t="s">
        <v>52</v>
      </c>
      <c r="C1268" s="35" t="s">
        <v>223</v>
      </c>
      <c r="D1268" s="35" t="s">
        <v>246</v>
      </c>
      <c r="E1268" s="35">
        <v>6</v>
      </c>
      <c r="F1268" s="35" t="s">
        <v>349</v>
      </c>
      <c r="G1268" s="35">
        <v>0.68</v>
      </c>
    </row>
    <row r="1269" spans="1:7" x14ac:dyDescent="0.2">
      <c r="A1269" s="35" t="s">
        <v>52</v>
      </c>
      <c r="B1269" s="35" t="s">
        <v>52</v>
      </c>
      <c r="C1269" s="35" t="s">
        <v>223</v>
      </c>
      <c r="D1269" s="35" t="s">
        <v>242</v>
      </c>
      <c r="E1269" s="35">
        <v>6</v>
      </c>
      <c r="F1269" s="35" t="s">
        <v>349</v>
      </c>
      <c r="G1269" s="35">
        <v>0.65</v>
      </c>
    </row>
    <row r="1270" spans="1:7" x14ac:dyDescent="0.2">
      <c r="A1270" s="35" t="s">
        <v>52</v>
      </c>
      <c r="B1270" s="35" t="s">
        <v>52</v>
      </c>
      <c r="C1270" s="35" t="s">
        <v>223</v>
      </c>
      <c r="D1270" s="35" t="s">
        <v>243</v>
      </c>
      <c r="E1270" s="35">
        <v>6</v>
      </c>
      <c r="F1270" s="35" t="s">
        <v>349</v>
      </c>
      <c r="G1270" s="35">
        <v>0.68</v>
      </c>
    </row>
    <row r="1271" spans="1:7" x14ac:dyDescent="0.2">
      <c r="A1271" s="35" t="s">
        <v>52</v>
      </c>
      <c r="B1271" s="35" t="s">
        <v>52</v>
      </c>
      <c r="C1271" s="35" t="s">
        <v>223</v>
      </c>
      <c r="D1271" s="35" t="s">
        <v>244</v>
      </c>
      <c r="E1271" s="35">
        <v>6</v>
      </c>
      <c r="F1271" s="35" t="s">
        <v>349</v>
      </c>
      <c r="G1271" s="35">
        <v>0.66</v>
      </c>
    </row>
    <row r="1272" spans="1:7" x14ac:dyDescent="0.2">
      <c r="A1272" s="35" t="s">
        <v>52</v>
      </c>
      <c r="B1272" s="35" t="s">
        <v>221</v>
      </c>
      <c r="C1272" s="35" t="s">
        <v>65</v>
      </c>
      <c r="D1272" s="35" t="s">
        <v>225</v>
      </c>
      <c r="E1272" s="35">
        <v>6</v>
      </c>
      <c r="F1272" s="35" t="s">
        <v>349</v>
      </c>
      <c r="G1272" s="35">
        <v>0.68</v>
      </c>
    </row>
    <row r="1273" spans="1:7" x14ac:dyDescent="0.2">
      <c r="A1273" s="35" t="s">
        <v>52</v>
      </c>
      <c r="B1273" s="35" t="s">
        <v>221</v>
      </c>
      <c r="C1273" s="35" t="s">
        <v>223</v>
      </c>
      <c r="D1273" s="35" t="s">
        <v>226</v>
      </c>
      <c r="E1273" s="35">
        <v>6</v>
      </c>
      <c r="F1273" s="35" t="s">
        <v>349</v>
      </c>
      <c r="G1273" s="35">
        <v>0.7</v>
      </c>
    </row>
    <row r="1274" spans="1:7" x14ac:dyDescent="0.2">
      <c r="A1274" s="35" t="s">
        <v>75</v>
      </c>
      <c r="B1274" s="35" t="s">
        <v>75</v>
      </c>
      <c r="C1274" s="35" t="s">
        <v>65</v>
      </c>
      <c r="D1274" s="35" t="s">
        <v>233</v>
      </c>
      <c r="E1274" s="35">
        <v>9</v>
      </c>
      <c r="F1274" s="35" t="s">
        <v>349</v>
      </c>
      <c r="G1274" s="35">
        <v>0.65</v>
      </c>
    </row>
    <row r="1275" spans="1:7" x14ac:dyDescent="0.2">
      <c r="A1275" s="35" t="s">
        <v>75</v>
      </c>
      <c r="B1275" s="35" t="s">
        <v>75</v>
      </c>
      <c r="C1275" s="35" t="s">
        <v>65</v>
      </c>
      <c r="D1275" s="35" t="s">
        <v>227</v>
      </c>
      <c r="E1275" s="35">
        <v>9</v>
      </c>
      <c r="F1275" s="35" t="s">
        <v>349</v>
      </c>
      <c r="G1275" s="35">
        <v>0.65</v>
      </c>
    </row>
    <row r="1276" spans="1:7" x14ac:dyDescent="0.2">
      <c r="A1276" s="35" t="s">
        <v>75</v>
      </c>
      <c r="B1276" s="35" t="s">
        <v>75</v>
      </c>
      <c r="C1276" s="35" t="s">
        <v>65</v>
      </c>
      <c r="D1276" s="35" t="s">
        <v>228</v>
      </c>
      <c r="E1276" s="35">
        <v>9</v>
      </c>
      <c r="F1276" s="35" t="s">
        <v>349</v>
      </c>
      <c r="G1276" s="35">
        <v>0.65</v>
      </c>
    </row>
    <row r="1277" spans="1:7" x14ac:dyDescent="0.2">
      <c r="A1277" s="35" t="s">
        <v>75</v>
      </c>
      <c r="B1277" s="35" t="s">
        <v>75</v>
      </c>
      <c r="C1277" s="35" t="s">
        <v>65</v>
      </c>
      <c r="D1277" s="35" t="s">
        <v>229</v>
      </c>
      <c r="E1277" s="35">
        <v>9</v>
      </c>
      <c r="F1277" s="35" t="s">
        <v>349</v>
      </c>
      <c r="G1277" s="35">
        <v>0.66</v>
      </c>
    </row>
    <row r="1278" spans="1:7" x14ac:dyDescent="0.2">
      <c r="A1278" s="35" t="s">
        <v>75</v>
      </c>
      <c r="B1278" s="35" t="s">
        <v>75</v>
      </c>
      <c r="C1278" s="35" t="s">
        <v>65</v>
      </c>
      <c r="D1278" s="35" t="s">
        <v>234</v>
      </c>
      <c r="E1278" s="35">
        <v>9</v>
      </c>
      <c r="F1278" s="35" t="s">
        <v>349</v>
      </c>
      <c r="G1278" s="35">
        <v>0.66</v>
      </c>
    </row>
    <row r="1279" spans="1:7" x14ac:dyDescent="0.2">
      <c r="A1279" s="35" t="s">
        <v>75</v>
      </c>
      <c r="B1279" s="35" t="s">
        <v>75</v>
      </c>
      <c r="C1279" s="35" t="s">
        <v>223</v>
      </c>
      <c r="D1279" s="35" t="s">
        <v>230</v>
      </c>
      <c r="E1279" s="35">
        <v>9</v>
      </c>
      <c r="F1279" s="35" t="s">
        <v>349</v>
      </c>
      <c r="G1279" s="35">
        <v>0.67</v>
      </c>
    </row>
    <row r="1280" spans="1:7" x14ac:dyDescent="0.2">
      <c r="A1280" s="35" t="s">
        <v>75</v>
      </c>
      <c r="B1280" s="35" t="s">
        <v>75</v>
      </c>
      <c r="C1280" s="35" t="s">
        <v>223</v>
      </c>
      <c r="D1280" s="35" t="s">
        <v>231</v>
      </c>
      <c r="E1280" s="35">
        <v>9</v>
      </c>
      <c r="F1280" s="35" t="s">
        <v>349</v>
      </c>
      <c r="G1280" s="35">
        <v>0.67</v>
      </c>
    </row>
    <row r="1281" spans="1:7" x14ac:dyDescent="0.2">
      <c r="A1281" s="35" t="s">
        <v>75</v>
      </c>
      <c r="B1281" s="35" t="s">
        <v>75</v>
      </c>
      <c r="C1281" s="35" t="s">
        <v>223</v>
      </c>
      <c r="D1281" s="35" t="s">
        <v>235</v>
      </c>
      <c r="E1281" s="35">
        <v>9</v>
      </c>
      <c r="F1281" s="35" t="s">
        <v>349</v>
      </c>
      <c r="G1281" s="35">
        <v>0.68</v>
      </c>
    </row>
    <row r="1282" spans="1:7" x14ac:dyDescent="0.2">
      <c r="A1282" s="35" t="s">
        <v>75</v>
      </c>
      <c r="B1282" s="35" t="s">
        <v>75</v>
      </c>
      <c r="C1282" s="35" t="s">
        <v>223</v>
      </c>
      <c r="D1282" s="35" t="s">
        <v>232</v>
      </c>
      <c r="E1282" s="35">
        <v>9</v>
      </c>
      <c r="F1282" s="35" t="s">
        <v>349</v>
      </c>
      <c r="G1282" s="35">
        <v>0</v>
      </c>
    </row>
    <row r="1283" spans="1:7" x14ac:dyDescent="0.2">
      <c r="A1283" s="35" t="s">
        <v>75</v>
      </c>
      <c r="B1283" s="35" t="s">
        <v>75</v>
      </c>
      <c r="C1283" s="35" t="s">
        <v>223</v>
      </c>
      <c r="D1283" s="35" t="s">
        <v>236</v>
      </c>
      <c r="E1283" s="35">
        <v>9</v>
      </c>
      <c r="F1283" s="35" t="s">
        <v>349</v>
      </c>
      <c r="G1283" s="35">
        <v>0</v>
      </c>
    </row>
    <row r="1284" spans="1:7" x14ac:dyDescent="0.2">
      <c r="A1284" s="35" t="s">
        <v>75</v>
      </c>
      <c r="B1284" s="35" t="s">
        <v>221</v>
      </c>
      <c r="C1284" s="35" t="s">
        <v>65</v>
      </c>
      <c r="D1284" s="35" t="s">
        <v>222</v>
      </c>
      <c r="E1284" s="35">
        <v>9</v>
      </c>
      <c r="F1284" s="35" t="s">
        <v>349</v>
      </c>
      <c r="G1284" s="35">
        <v>0.66</v>
      </c>
    </row>
    <row r="1285" spans="1:7" x14ac:dyDescent="0.2">
      <c r="A1285" s="35" t="s">
        <v>75</v>
      </c>
      <c r="B1285" s="35" t="s">
        <v>221</v>
      </c>
      <c r="C1285" s="35" t="s">
        <v>223</v>
      </c>
      <c r="D1285" s="35" t="s">
        <v>224</v>
      </c>
      <c r="E1285" s="35">
        <v>9</v>
      </c>
      <c r="F1285" s="35" t="s">
        <v>349</v>
      </c>
      <c r="G1285" s="35">
        <v>0</v>
      </c>
    </row>
    <row r="1286" spans="1:7" x14ac:dyDescent="0.2">
      <c r="A1286" s="35" t="s">
        <v>52</v>
      </c>
      <c r="B1286" s="35" t="s">
        <v>52</v>
      </c>
      <c r="C1286" s="35" t="s">
        <v>65</v>
      </c>
      <c r="D1286" s="35" t="s">
        <v>237</v>
      </c>
      <c r="E1286" s="35">
        <v>9</v>
      </c>
      <c r="F1286" s="35" t="s">
        <v>349</v>
      </c>
      <c r="G1286" s="35">
        <v>0.62</v>
      </c>
    </row>
    <row r="1287" spans="1:7" x14ac:dyDescent="0.2">
      <c r="A1287" s="35" t="s">
        <v>52</v>
      </c>
      <c r="B1287" s="35" t="s">
        <v>52</v>
      </c>
      <c r="C1287" s="35" t="s">
        <v>65</v>
      </c>
      <c r="D1287" s="35" t="s">
        <v>238</v>
      </c>
      <c r="E1287" s="35">
        <v>9</v>
      </c>
      <c r="F1287" s="35" t="s">
        <v>349</v>
      </c>
      <c r="G1287" s="35">
        <v>0.63</v>
      </c>
    </row>
    <row r="1288" spans="1:7" x14ac:dyDescent="0.2">
      <c r="A1288" s="35" t="s">
        <v>52</v>
      </c>
      <c r="B1288" s="35" t="s">
        <v>52</v>
      </c>
      <c r="C1288" s="35" t="s">
        <v>65</v>
      </c>
      <c r="D1288" s="35" t="s">
        <v>239</v>
      </c>
      <c r="E1288" s="35">
        <v>9</v>
      </c>
      <c r="F1288" s="35" t="s">
        <v>349</v>
      </c>
      <c r="G1288" s="35">
        <v>0.65</v>
      </c>
    </row>
    <row r="1289" spans="1:7" x14ac:dyDescent="0.2">
      <c r="A1289" s="35" t="s">
        <v>52</v>
      </c>
      <c r="B1289" s="35" t="s">
        <v>52</v>
      </c>
      <c r="C1289" s="35" t="s">
        <v>65</v>
      </c>
      <c r="D1289" s="35" t="s">
        <v>240</v>
      </c>
      <c r="E1289" s="35">
        <v>9</v>
      </c>
      <c r="F1289" s="35" t="s">
        <v>349</v>
      </c>
      <c r="G1289" s="35">
        <v>0.65</v>
      </c>
    </row>
    <row r="1290" spans="1:7" x14ac:dyDescent="0.2">
      <c r="A1290" s="35" t="s">
        <v>52</v>
      </c>
      <c r="B1290" s="35" t="s">
        <v>52</v>
      </c>
      <c r="C1290" s="35" t="s">
        <v>65</v>
      </c>
      <c r="D1290" s="35" t="s">
        <v>245</v>
      </c>
      <c r="E1290" s="35">
        <v>9</v>
      </c>
      <c r="F1290" s="35" t="s">
        <v>349</v>
      </c>
      <c r="G1290" s="35">
        <v>0</v>
      </c>
    </row>
    <row r="1291" spans="1:7" x14ac:dyDescent="0.2">
      <c r="A1291" s="35" t="s">
        <v>52</v>
      </c>
      <c r="B1291" s="35" t="s">
        <v>52</v>
      </c>
      <c r="C1291" s="35" t="s">
        <v>223</v>
      </c>
      <c r="D1291" s="35" t="s">
        <v>241</v>
      </c>
      <c r="E1291" s="35">
        <v>9</v>
      </c>
      <c r="F1291" s="35" t="s">
        <v>349</v>
      </c>
      <c r="G1291" s="35">
        <v>0.47</v>
      </c>
    </row>
    <row r="1292" spans="1:7" x14ac:dyDescent="0.2">
      <c r="A1292" s="35" t="s">
        <v>52</v>
      </c>
      <c r="B1292" s="35" t="s">
        <v>52</v>
      </c>
      <c r="C1292" s="35" t="s">
        <v>223</v>
      </c>
      <c r="D1292" s="35" t="s">
        <v>246</v>
      </c>
      <c r="E1292" s="35">
        <v>9</v>
      </c>
      <c r="F1292" s="35" t="s">
        <v>349</v>
      </c>
      <c r="G1292" s="35">
        <v>0.56999999999999995</v>
      </c>
    </row>
    <row r="1293" spans="1:7" x14ac:dyDescent="0.2">
      <c r="A1293" s="35" t="s">
        <v>52</v>
      </c>
      <c r="B1293" s="35" t="s">
        <v>52</v>
      </c>
      <c r="C1293" s="35" t="s">
        <v>223</v>
      </c>
      <c r="D1293" s="35" t="s">
        <v>242</v>
      </c>
      <c r="E1293" s="35">
        <v>9</v>
      </c>
      <c r="F1293" s="35" t="s">
        <v>349</v>
      </c>
      <c r="G1293" s="35">
        <v>0.45</v>
      </c>
    </row>
    <row r="1294" spans="1:7" x14ac:dyDescent="0.2">
      <c r="A1294" s="35" t="s">
        <v>52</v>
      </c>
      <c r="B1294" s="35" t="s">
        <v>52</v>
      </c>
      <c r="C1294" s="35" t="s">
        <v>223</v>
      </c>
      <c r="D1294" s="35" t="s">
        <v>243</v>
      </c>
      <c r="E1294" s="35">
        <v>9</v>
      </c>
      <c r="F1294" s="35" t="s">
        <v>349</v>
      </c>
      <c r="G1294" s="35">
        <v>0.45</v>
      </c>
    </row>
    <row r="1295" spans="1:7" x14ac:dyDescent="0.2">
      <c r="A1295" s="35" t="s">
        <v>52</v>
      </c>
      <c r="B1295" s="35" t="s">
        <v>52</v>
      </c>
      <c r="C1295" s="35" t="s">
        <v>223</v>
      </c>
      <c r="D1295" s="35" t="s">
        <v>244</v>
      </c>
      <c r="E1295" s="35">
        <v>9</v>
      </c>
      <c r="F1295" s="35" t="s">
        <v>349</v>
      </c>
      <c r="G1295" s="35">
        <v>0.55000000000000004</v>
      </c>
    </row>
    <row r="1296" spans="1:7" x14ac:dyDescent="0.2">
      <c r="A1296" s="35" t="s">
        <v>52</v>
      </c>
      <c r="B1296" s="35" t="s">
        <v>221</v>
      </c>
      <c r="C1296" s="35" t="s">
        <v>65</v>
      </c>
      <c r="D1296" s="35" t="s">
        <v>225</v>
      </c>
      <c r="E1296" s="35">
        <v>9</v>
      </c>
      <c r="F1296" s="35" t="s">
        <v>349</v>
      </c>
      <c r="G1296" s="35">
        <v>0.64</v>
      </c>
    </row>
    <row r="1297" spans="1:7" x14ac:dyDescent="0.2">
      <c r="A1297" s="35" t="s">
        <v>52</v>
      </c>
      <c r="B1297" s="35" t="s">
        <v>221</v>
      </c>
      <c r="C1297" s="35" t="s">
        <v>223</v>
      </c>
      <c r="D1297" s="35" t="s">
        <v>226</v>
      </c>
      <c r="E1297" s="35">
        <v>9</v>
      </c>
      <c r="F1297" s="35" t="s">
        <v>349</v>
      </c>
      <c r="G1297" s="35">
        <v>0.64</v>
      </c>
    </row>
    <row r="1298" spans="1:7" x14ac:dyDescent="0.2">
      <c r="A1298" s="35" t="s">
        <v>75</v>
      </c>
      <c r="B1298" s="35" t="s">
        <v>75</v>
      </c>
      <c r="C1298" s="35" t="s">
        <v>65</v>
      </c>
      <c r="D1298" s="35" t="s">
        <v>233</v>
      </c>
      <c r="E1298" s="35">
        <v>12</v>
      </c>
      <c r="F1298" s="35" t="s">
        <v>349</v>
      </c>
      <c r="G1298" s="35">
        <v>0.64</v>
      </c>
    </row>
    <row r="1299" spans="1:7" x14ac:dyDescent="0.2">
      <c r="A1299" s="35" t="s">
        <v>75</v>
      </c>
      <c r="B1299" s="35" t="s">
        <v>75</v>
      </c>
      <c r="C1299" s="35" t="s">
        <v>65</v>
      </c>
      <c r="D1299" s="35" t="s">
        <v>227</v>
      </c>
      <c r="E1299" s="35">
        <v>12</v>
      </c>
      <c r="F1299" s="35" t="s">
        <v>349</v>
      </c>
      <c r="G1299" s="35">
        <v>0.63</v>
      </c>
    </row>
    <row r="1300" spans="1:7" x14ac:dyDescent="0.2">
      <c r="A1300" s="35" t="s">
        <v>75</v>
      </c>
      <c r="B1300" s="35" t="s">
        <v>75</v>
      </c>
      <c r="C1300" s="35" t="s">
        <v>65</v>
      </c>
      <c r="D1300" s="35" t="s">
        <v>228</v>
      </c>
      <c r="E1300" s="35">
        <v>12</v>
      </c>
      <c r="F1300" s="35" t="s">
        <v>349</v>
      </c>
      <c r="G1300" s="35">
        <v>0.64</v>
      </c>
    </row>
    <row r="1301" spans="1:7" x14ac:dyDescent="0.2">
      <c r="A1301" s="35" t="s">
        <v>75</v>
      </c>
      <c r="B1301" s="35" t="s">
        <v>75</v>
      </c>
      <c r="C1301" s="35" t="s">
        <v>65</v>
      </c>
      <c r="D1301" s="35" t="s">
        <v>229</v>
      </c>
      <c r="E1301" s="35">
        <v>12</v>
      </c>
      <c r="F1301" s="35" t="s">
        <v>349</v>
      </c>
      <c r="G1301" s="35">
        <v>0.63</v>
      </c>
    </row>
    <row r="1302" spans="1:7" x14ac:dyDescent="0.2">
      <c r="A1302" s="35" t="s">
        <v>75</v>
      </c>
      <c r="B1302" s="35" t="s">
        <v>75</v>
      </c>
      <c r="C1302" s="35" t="s">
        <v>65</v>
      </c>
      <c r="D1302" s="35" t="s">
        <v>234</v>
      </c>
      <c r="E1302" s="35">
        <v>12</v>
      </c>
      <c r="F1302" s="35" t="s">
        <v>349</v>
      </c>
      <c r="G1302" s="35">
        <v>0.64</v>
      </c>
    </row>
    <row r="1303" spans="1:7" x14ac:dyDescent="0.2">
      <c r="A1303" s="35" t="s">
        <v>75</v>
      </c>
      <c r="B1303" s="35" t="s">
        <v>75</v>
      </c>
      <c r="C1303" s="35" t="s">
        <v>223</v>
      </c>
      <c r="D1303" s="35" t="s">
        <v>230</v>
      </c>
      <c r="E1303" s="35">
        <v>12</v>
      </c>
      <c r="F1303" s="35" t="s">
        <v>349</v>
      </c>
      <c r="G1303" s="35">
        <v>0.57999999999999996</v>
      </c>
    </row>
    <row r="1304" spans="1:7" x14ac:dyDescent="0.2">
      <c r="A1304" s="35" t="s">
        <v>75</v>
      </c>
      <c r="B1304" s="35" t="s">
        <v>75</v>
      </c>
      <c r="C1304" s="35" t="s">
        <v>223</v>
      </c>
      <c r="D1304" s="35" t="s">
        <v>231</v>
      </c>
      <c r="E1304" s="35">
        <v>12</v>
      </c>
      <c r="F1304" s="35" t="s">
        <v>349</v>
      </c>
      <c r="G1304" s="35">
        <v>0.6</v>
      </c>
    </row>
    <row r="1305" spans="1:7" x14ac:dyDescent="0.2">
      <c r="A1305" s="35" t="s">
        <v>75</v>
      </c>
      <c r="B1305" s="35" t="s">
        <v>75</v>
      </c>
      <c r="C1305" s="35" t="s">
        <v>223</v>
      </c>
      <c r="D1305" s="35" t="s">
        <v>235</v>
      </c>
      <c r="E1305" s="35">
        <v>12</v>
      </c>
      <c r="F1305" s="35" t="s">
        <v>349</v>
      </c>
      <c r="G1305" s="35">
        <v>0.62</v>
      </c>
    </row>
    <row r="1306" spans="1:7" x14ac:dyDescent="0.2">
      <c r="A1306" s="35" t="s">
        <v>75</v>
      </c>
      <c r="B1306" s="35" t="s">
        <v>75</v>
      </c>
      <c r="C1306" s="35" t="s">
        <v>223</v>
      </c>
      <c r="D1306" s="35" t="s">
        <v>232</v>
      </c>
      <c r="E1306" s="35">
        <v>12</v>
      </c>
      <c r="F1306" s="35" t="s">
        <v>349</v>
      </c>
      <c r="G1306" s="35">
        <v>0.6</v>
      </c>
    </row>
    <row r="1307" spans="1:7" x14ac:dyDescent="0.2">
      <c r="A1307" s="35" t="s">
        <v>75</v>
      </c>
      <c r="B1307" s="35" t="s">
        <v>75</v>
      </c>
      <c r="C1307" s="35" t="s">
        <v>223</v>
      </c>
      <c r="D1307" s="35" t="s">
        <v>236</v>
      </c>
      <c r="E1307" s="35">
        <v>12</v>
      </c>
      <c r="F1307" s="35" t="s">
        <v>349</v>
      </c>
      <c r="G1307" s="35">
        <v>0.6</v>
      </c>
    </row>
    <row r="1308" spans="1:7" x14ac:dyDescent="0.2">
      <c r="A1308" s="35" t="s">
        <v>75</v>
      </c>
      <c r="B1308" s="35" t="s">
        <v>221</v>
      </c>
      <c r="C1308" s="35" t="s">
        <v>65</v>
      </c>
      <c r="D1308" s="35" t="s">
        <v>222</v>
      </c>
      <c r="E1308" s="35">
        <v>12</v>
      </c>
      <c r="F1308" s="35" t="s">
        <v>349</v>
      </c>
      <c r="G1308" s="35">
        <v>0.62</v>
      </c>
    </row>
    <row r="1309" spans="1:7" x14ac:dyDescent="0.2">
      <c r="A1309" s="35" t="s">
        <v>75</v>
      </c>
      <c r="B1309" s="35" t="s">
        <v>221</v>
      </c>
      <c r="C1309" s="35" t="s">
        <v>223</v>
      </c>
      <c r="D1309" s="35" t="s">
        <v>224</v>
      </c>
      <c r="E1309" s="35">
        <v>12</v>
      </c>
      <c r="F1309" s="35" t="s">
        <v>349</v>
      </c>
      <c r="G1309" s="35">
        <v>0</v>
      </c>
    </row>
    <row r="1310" spans="1:7" x14ac:dyDescent="0.2">
      <c r="A1310" s="35" t="s">
        <v>52</v>
      </c>
      <c r="B1310" s="35" t="s">
        <v>52</v>
      </c>
      <c r="C1310" s="35" t="s">
        <v>65</v>
      </c>
      <c r="D1310" s="35" t="s">
        <v>237</v>
      </c>
      <c r="E1310" s="35">
        <v>12</v>
      </c>
      <c r="F1310" s="35" t="s">
        <v>349</v>
      </c>
      <c r="G1310" s="35">
        <v>0.63</v>
      </c>
    </row>
    <row r="1311" spans="1:7" x14ac:dyDescent="0.2">
      <c r="A1311" s="35" t="s">
        <v>52</v>
      </c>
      <c r="B1311" s="35" t="s">
        <v>52</v>
      </c>
      <c r="C1311" s="35" t="s">
        <v>65</v>
      </c>
      <c r="D1311" s="35" t="s">
        <v>238</v>
      </c>
      <c r="E1311" s="35">
        <v>12</v>
      </c>
      <c r="F1311" s="35" t="s">
        <v>349</v>
      </c>
      <c r="G1311" s="35">
        <v>0.64</v>
      </c>
    </row>
    <row r="1312" spans="1:7" x14ac:dyDescent="0.2">
      <c r="A1312" s="35" t="s">
        <v>52</v>
      </c>
      <c r="B1312" s="35" t="s">
        <v>52</v>
      </c>
      <c r="C1312" s="35" t="s">
        <v>65</v>
      </c>
      <c r="D1312" s="35" t="s">
        <v>239</v>
      </c>
      <c r="E1312" s="35">
        <v>12</v>
      </c>
      <c r="F1312" s="35" t="s">
        <v>349</v>
      </c>
      <c r="G1312" s="35">
        <v>0.64</v>
      </c>
    </row>
    <row r="1313" spans="1:7" x14ac:dyDescent="0.2">
      <c r="A1313" s="35" t="s">
        <v>52</v>
      </c>
      <c r="B1313" s="35" t="s">
        <v>52</v>
      </c>
      <c r="C1313" s="35" t="s">
        <v>65</v>
      </c>
      <c r="D1313" s="35" t="s">
        <v>240</v>
      </c>
      <c r="E1313" s="35">
        <v>12</v>
      </c>
      <c r="F1313" s="35" t="s">
        <v>349</v>
      </c>
      <c r="G1313" s="35">
        <v>0.63</v>
      </c>
    </row>
    <row r="1314" spans="1:7" x14ac:dyDescent="0.2">
      <c r="A1314" s="35" t="s">
        <v>52</v>
      </c>
      <c r="B1314" s="35" t="s">
        <v>52</v>
      </c>
      <c r="C1314" s="35" t="s">
        <v>65</v>
      </c>
      <c r="D1314" s="35" t="s">
        <v>245</v>
      </c>
      <c r="E1314" s="35">
        <v>12</v>
      </c>
      <c r="F1314" s="35" t="s">
        <v>349</v>
      </c>
      <c r="G1314" s="35">
        <v>0.64</v>
      </c>
    </row>
    <row r="1315" spans="1:7" x14ac:dyDescent="0.2">
      <c r="A1315" s="35" t="s">
        <v>52</v>
      </c>
      <c r="B1315" s="35" t="s">
        <v>52</v>
      </c>
      <c r="C1315" s="35" t="s">
        <v>223</v>
      </c>
      <c r="D1315" s="35" t="s">
        <v>241</v>
      </c>
      <c r="E1315" s="35">
        <v>12</v>
      </c>
      <c r="F1315" s="35" t="s">
        <v>349</v>
      </c>
      <c r="G1315" s="35">
        <v>0.55000000000000004</v>
      </c>
    </row>
    <row r="1316" spans="1:7" x14ac:dyDescent="0.2">
      <c r="A1316" s="35" t="s">
        <v>52</v>
      </c>
      <c r="B1316" s="35" t="s">
        <v>52</v>
      </c>
      <c r="C1316" s="35" t="s">
        <v>223</v>
      </c>
      <c r="D1316" s="35" t="s">
        <v>246</v>
      </c>
      <c r="E1316" s="35">
        <v>12</v>
      </c>
      <c r="F1316" s="35" t="s">
        <v>349</v>
      </c>
      <c r="G1316" s="35">
        <v>0.56999999999999995</v>
      </c>
    </row>
    <row r="1317" spans="1:7" x14ac:dyDescent="0.2">
      <c r="A1317" s="35" t="s">
        <v>52</v>
      </c>
      <c r="B1317" s="35" t="s">
        <v>52</v>
      </c>
      <c r="C1317" s="35" t="s">
        <v>223</v>
      </c>
      <c r="D1317" s="35" t="s">
        <v>242</v>
      </c>
      <c r="E1317" s="35">
        <v>12</v>
      </c>
      <c r="F1317" s="35" t="s">
        <v>349</v>
      </c>
      <c r="G1317" s="35">
        <v>0.54</v>
      </c>
    </row>
    <row r="1318" spans="1:7" x14ac:dyDescent="0.2">
      <c r="A1318" s="35" t="s">
        <v>52</v>
      </c>
      <c r="B1318" s="35" t="s">
        <v>52</v>
      </c>
      <c r="C1318" s="35" t="s">
        <v>223</v>
      </c>
      <c r="D1318" s="35" t="s">
        <v>243</v>
      </c>
      <c r="E1318" s="35">
        <v>12</v>
      </c>
      <c r="F1318" s="35" t="s">
        <v>349</v>
      </c>
      <c r="G1318" s="35">
        <v>0.56000000000000005</v>
      </c>
    </row>
    <row r="1319" spans="1:7" x14ac:dyDescent="0.2">
      <c r="A1319" s="35" t="s">
        <v>52</v>
      </c>
      <c r="B1319" s="35" t="s">
        <v>52</v>
      </c>
      <c r="C1319" s="35" t="s">
        <v>223</v>
      </c>
      <c r="D1319" s="35" t="s">
        <v>244</v>
      </c>
      <c r="E1319" s="35">
        <v>12</v>
      </c>
      <c r="F1319" s="35" t="s">
        <v>349</v>
      </c>
      <c r="G1319" s="35">
        <v>0.5</v>
      </c>
    </row>
    <row r="1320" spans="1:7" x14ac:dyDescent="0.2">
      <c r="A1320" s="35" t="s">
        <v>52</v>
      </c>
      <c r="B1320" s="35" t="s">
        <v>221</v>
      </c>
      <c r="C1320" s="35" t="s">
        <v>65</v>
      </c>
      <c r="D1320" s="35" t="s">
        <v>225</v>
      </c>
      <c r="E1320" s="35">
        <v>12</v>
      </c>
      <c r="F1320" s="35" t="s">
        <v>349</v>
      </c>
      <c r="G1320" s="35">
        <v>0.64</v>
      </c>
    </row>
    <row r="1321" spans="1:7" x14ac:dyDescent="0.2">
      <c r="A1321" s="35" t="s">
        <v>52</v>
      </c>
      <c r="B1321" s="35" t="s">
        <v>221</v>
      </c>
      <c r="C1321" s="35" t="s">
        <v>223</v>
      </c>
      <c r="D1321" s="35" t="s">
        <v>226</v>
      </c>
      <c r="E1321" s="35">
        <v>12</v>
      </c>
      <c r="F1321" s="35" t="s">
        <v>349</v>
      </c>
      <c r="G1321" s="35">
        <v>0.61</v>
      </c>
    </row>
    <row r="1322" spans="1:7" x14ac:dyDescent="0.2">
      <c r="A1322" s="35" t="s">
        <v>75</v>
      </c>
      <c r="B1322" s="35" t="s">
        <v>75</v>
      </c>
      <c r="C1322" s="35" t="s">
        <v>65</v>
      </c>
      <c r="D1322" s="35" t="s">
        <v>233</v>
      </c>
      <c r="E1322" s="35">
        <v>15</v>
      </c>
      <c r="F1322" s="35" t="s">
        <v>349</v>
      </c>
      <c r="G1322" s="35">
        <v>0.63</v>
      </c>
    </row>
    <row r="1323" spans="1:7" x14ac:dyDescent="0.2">
      <c r="A1323" s="35" t="s">
        <v>75</v>
      </c>
      <c r="B1323" s="35" t="s">
        <v>75</v>
      </c>
      <c r="C1323" s="35" t="s">
        <v>65</v>
      </c>
      <c r="D1323" s="35" t="s">
        <v>227</v>
      </c>
      <c r="E1323" s="35">
        <v>15</v>
      </c>
      <c r="F1323" s="35" t="s">
        <v>349</v>
      </c>
      <c r="G1323" s="35">
        <v>0.65</v>
      </c>
    </row>
    <row r="1324" spans="1:7" x14ac:dyDescent="0.2">
      <c r="A1324" s="35" t="s">
        <v>75</v>
      </c>
      <c r="B1324" s="35" t="s">
        <v>75</v>
      </c>
      <c r="C1324" s="35" t="s">
        <v>65</v>
      </c>
      <c r="D1324" s="35" t="s">
        <v>228</v>
      </c>
      <c r="E1324" s="35">
        <v>15</v>
      </c>
      <c r="F1324" s="35" t="s">
        <v>349</v>
      </c>
      <c r="G1324" s="35">
        <v>0.63</v>
      </c>
    </row>
    <row r="1325" spans="1:7" x14ac:dyDescent="0.2">
      <c r="A1325" s="35" t="s">
        <v>75</v>
      </c>
      <c r="B1325" s="35" t="s">
        <v>75</v>
      </c>
      <c r="C1325" s="35" t="s">
        <v>65</v>
      </c>
      <c r="D1325" s="35" t="s">
        <v>229</v>
      </c>
      <c r="E1325" s="35">
        <v>15</v>
      </c>
      <c r="F1325" s="35" t="s">
        <v>349</v>
      </c>
      <c r="G1325" s="35">
        <v>0.64</v>
      </c>
    </row>
    <row r="1326" spans="1:7" x14ac:dyDescent="0.2">
      <c r="A1326" s="35" t="s">
        <v>75</v>
      </c>
      <c r="B1326" s="35" t="s">
        <v>75</v>
      </c>
      <c r="C1326" s="35" t="s">
        <v>65</v>
      </c>
      <c r="D1326" s="35" t="s">
        <v>234</v>
      </c>
      <c r="E1326" s="35">
        <v>15</v>
      </c>
      <c r="F1326" s="35" t="s">
        <v>349</v>
      </c>
      <c r="G1326" s="35">
        <v>0.64</v>
      </c>
    </row>
    <row r="1327" spans="1:7" x14ac:dyDescent="0.2">
      <c r="A1327" s="35" t="s">
        <v>75</v>
      </c>
      <c r="B1327" s="35" t="s">
        <v>75</v>
      </c>
      <c r="C1327" s="35" t="s">
        <v>223</v>
      </c>
      <c r="D1327" s="35" t="s">
        <v>230</v>
      </c>
      <c r="E1327" s="35">
        <v>15</v>
      </c>
      <c r="F1327" s="35" t="s">
        <v>349</v>
      </c>
      <c r="G1327" s="35">
        <v>0.61</v>
      </c>
    </row>
    <row r="1328" spans="1:7" x14ac:dyDescent="0.2">
      <c r="A1328" s="35" t="s">
        <v>75</v>
      </c>
      <c r="B1328" s="35" t="s">
        <v>75</v>
      </c>
      <c r="C1328" s="35" t="s">
        <v>223</v>
      </c>
      <c r="D1328" s="35" t="s">
        <v>231</v>
      </c>
      <c r="E1328" s="35">
        <v>15</v>
      </c>
      <c r="F1328" s="35" t="s">
        <v>349</v>
      </c>
      <c r="G1328" s="35">
        <v>0.61</v>
      </c>
    </row>
    <row r="1329" spans="1:7" x14ac:dyDescent="0.2">
      <c r="A1329" s="35" t="s">
        <v>75</v>
      </c>
      <c r="B1329" s="35" t="s">
        <v>75</v>
      </c>
      <c r="C1329" s="35" t="s">
        <v>223</v>
      </c>
      <c r="D1329" s="35" t="s">
        <v>235</v>
      </c>
      <c r="E1329" s="35">
        <v>15</v>
      </c>
      <c r="F1329" s="35" t="s">
        <v>349</v>
      </c>
      <c r="G1329" s="35">
        <v>0.6</v>
      </c>
    </row>
    <row r="1330" spans="1:7" x14ac:dyDescent="0.2">
      <c r="A1330" s="35" t="s">
        <v>75</v>
      </c>
      <c r="B1330" s="35" t="s">
        <v>75</v>
      </c>
      <c r="C1330" s="35" t="s">
        <v>223</v>
      </c>
      <c r="D1330" s="35" t="s">
        <v>232</v>
      </c>
      <c r="E1330" s="35">
        <v>15</v>
      </c>
      <c r="F1330" s="35" t="s">
        <v>349</v>
      </c>
      <c r="G1330" s="35">
        <v>0.63</v>
      </c>
    </row>
    <row r="1331" spans="1:7" x14ac:dyDescent="0.2">
      <c r="A1331" s="35" t="s">
        <v>75</v>
      </c>
      <c r="B1331" s="35" t="s">
        <v>75</v>
      </c>
      <c r="C1331" s="35" t="s">
        <v>223</v>
      </c>
      <c r="D1331" s="35" t="s">
        <v>236</v>
      </c>
      <c r="E1331" s="35">
        <v>15</v>
      </c>
      <c r="F1331" s="35" t="s">
        <v>349</v>
      </c>
      <c r="G1331" s="35">
        <v>0.56999999999999995</v>
      </c>
    </row>
    <row r="1332" spans="1:7" x14ac:dyDescent="0.2">
      <c r="A1332" s="35" t="s">
        <v>75</v>
      </c>
      <c r="B1332" s="35" t="s">
        <v>221</v>
      </c>
      <c r="C1332" s="35" t="s">
        <v>65</v>
      </c>
      <c r="D1332" s="35" t="s">
        <v>222</v>
      </c>
      <c r="E1332" s="35">
        <v>15</v>
      </c>
      <c r="F1332" s="35" t="s">
        <v>349</v>
      </c>
      <c r="G1332" s="35">
        <v>0.63</v>
      </c>
    </row>
    <row r="1333" spans="1:7" x14ac:dyDescent="0.2">
      <c r="A1333" s="35" t="s">
        <v>75</v>
      </c>
      <c r="B1333" s="35" t="s">
        <v>221</v>
      </c>
      <c r="C1333" s="35" t="s">
        <v>223</v>
      </c>
      <c r="D1333" s="35" t="s">
        <v>224</v>
      </c>
      <c r="E1333" s="35">
        <v>15</v>
      </c>
      <c r="F1333" s="35" t="s">
        <v>349</v>
      </c>
      <c r="G1333" s="35">
        <v>0.64</v>
      </c>
    </row>
    <row r="1334" spans="1:7" x14ac:dyDescent="0.2">
      <c r="A1334" s="35" t="s">
        <v>52</v>
      </c>
      <c r="B1334" s="35" t="s">
        <v>52</v>
      </c>
      <c r="C1334" s="35" t="s">
        <v>65</v>
      </c>
      <c r="D1334" s="35" t="s">
        <v>237</v>
      </c>
      <c r="E1334" s="35">
        <v>15</v>
      </c>
      <c r="F1334" s="35" t="s">
        <v>349</v>
      </c>
      <c r="G1334" s="35">
        <v>0.66</v>
      </c>
    </row>
    <row r="1335" spans="1:7" x14ac:dyDescent="0.2">
      <c r="A1335" s="35" t="s">
        <v>52</v>
      </c>
      <c r="B1335" s="35" t="s">
        <v>52</v>
      </c>
      <c r="C1335" s="35" t="s">
        <v>65</v>
      </c>
      <c r="D1335" s="35" t="s">
        <v>238</v>
      </c>
      <c r="E1335" s="35">
        <v>15</v>
      </c>
      <c r="F1335" s="35" t="s">
        <v>349</v>
      </c>
      <c r="G1335" s="35">
        <v>0.65</v>
      </c>
    </row>
    <row r="1336" spans="1:7" x14ac:dyDescent="0.2">
      <c r="A1336" s="35" t="s">
        <v>52</v>
      </c>
      <c r="B1336" s="35" t="s">
        <v>52</v>
      </c>
      <c r="C1336" s="35" t="s">
        <v>65</v>
      </c>
      <c r="D1336" s="35" t="s">
        <v>239</v>
      </c>
      <c r="E1336" s="35">
        <v>15</v>
      </c>
      <c r="F1336" s="35" t="s">
        <v>349</v>
      </c>
      <c r="G1336" s="35">
        <v>0.65</v>
      </c>
    </row>
    <row r="1337" spans="1:7" x14ac:dyDescent="0.2">
      <c r="A1337" s="35" t="s">
        <v>52</v>
      </c>
      <c r="B1337" s="35" t="s">
        <v>52</v>
      </c>
      <c r="C1337" s="35" t="s">
        <v>65</v>
      </c>
      <c r="D1337" s="35" t="s">
        <v>240</v>
      </c>
      <c r="E1337" s="35">
        <v>15</v>
      </c>
      <c r="F1337" s="35" t="s">
        <v>349</v>
      </c>
      <c r="G1337" s="35">
        <v>0.65</v>
      </c>
    </row>
    <row r="1338" spans="1:7" x14ac:dyDescent="0.2">
      <c r="A1338" s="35" t="s">
        <v>52</v>
      </c>
      <c r="B1338" s="35" t="s">
        <v>52</v>
      </c>
      <c r="C1338" s="35" t="s">
        <v>65</v>
      </c>
      <c r="D1338" s="35" t="s">
        <v>245</v>
      </c>
      <c r="E1338" s="35">
        <v>15</v>
      </c>
      <c r="F1338" s="35" t="s">
        <v>349</v>
      </c>
      <c r="G1338" s="35">
        <v>0.67</v>
      </c>
    </row>
    <row r="1339" spans="1:7" x14ac:dyDescent="0.2">
      <c r="A1339" s="35" t="s">
        <v>52</v>
      </c>
      <c r="B1339" s="35" t="s">
        <v>52</v>
      </c>
      <c r="C1339" s="35" t="s">
        <v>223</v>
      </c>
      <c r="D1339" s="35" t="s">
        <v>241</v>
      </c>
      <c r="E1339" s="35">
        <v>15</v>
      </c>
      <c r="F1339" s="35" t="s">
        <v>349</v>
      </c>
      <c r="G1339" s="35">
        <v>0.66</v>
      </c>
    </row>
    <row r="1340" spans="1:7" x14ac:dyDescent="0.2">
      <c r="A1340" s="35" t="s">
        <v>52</v>
      </c>
      <c r="B1340" s="35" t="s">
        <v>52</v>
      </c>
      <c r="C1340" s="35" t="s">
        <v>223</v>
      </c>
      <c r="D1340" s="35" t="s">
        <v>246</v>
      </c>
      <c r="E1340" s="35">
        <v>15</v>
      </c>
      <c r="F1340" s="35" t="s">
        <v>349</v>
      </c>
      <c r="G1340" s="35">
        <v>0.65</v>
      </c>
    </row>
    <row r="1341" spans="1:7" x14ac:dyDescent="0.2">
      <c r="A1341" s="35" t="s">
        <v>52</v>
      </c>
      <c r="B1341" s="35" t="s">
        <v>52</v>
      </c>
      <c r="C1341" s="35" t="s">
        <v>223</v>
      </c>
      <c r="D1341" s="35" t="s">
        <v>242</v>
      </c>
      <c r="E1341" s="35">
        <v>15</v>
      </c>
      <c r="F1341" s="35" t="s">
        <v>349</v>
      </c>
      <c r="G1341" s="35">
        <v>0.67</v>
      </c>
    </row>
    <row r="1342" spans="1:7" x14ac:dyDescent="0.2">
      <c r="A1342" s="35" t="s">
        <v>52</v>
      </c>
      <c r="B1342" s="35" t="s">
        <v>52</v>
      </c>
      <c r="C1342" s="35" t="s">
        <v>223</v>
      </c>
      <c r="D1342" s="35" t="s">
        <v>243</v>
      </c>
      <c r="E1342" s="35">
        <v>15</v>
      </c>
      <c r="F1342" s="35" t="s">
        <v>349</v>
      </c>
      <c r="G1342" s="35">
        <v>0.68</v>
      </c>
    </row>
    <row r="1343" spans="1:7" x14ac:dyDescent="0.2">
      <c r="A1343" s="35" t="s">
        <v>52</v>
      </c>
      <c r="B1343" s="35" t="s">
        <v>52</v>
      </c>
      <c r="C1343" s="35" t="s">
        <v>223</v>
      </c>
      <c r="D1343" s="35" t="s">
        <v>244</v>
      </c>
      <c r="E1343" s="35">
        <v>15</v>
      </c>
      <c r="F1343" s="35" t="s">
        <v>349</v>
      </c>
      <c r="G1343" s="35">
        <v>0.66</v>
      </c>
    </row>
    <row r="1344" spans="1:7" x14ac:dyDescent="0.2">
      <c r="A1344" s="35" t="s">
        <v>52</v>
      </c>
      <c r="B1344" s="35" t="s">
        <v>221</v>
      </c>
      <c r="C1344" s="35" t="s">
        <v>65</v>
      </c>
      <c r="D1344" s="35" t="s">
        <v>225</v>
      </c>
      <c r="E1344" s="35">
        <v>15</v>
      </c>
      <c r="F1344" s="35" t="s">
        <v>349</v>
      </c>
      <c r="G1344" s="35">
        <v>0.67</v>
      </c>
    </row>
    <row r="1345" spans="1:7" x14ac:dyDescent="0.2">
      <c r="A1345" s="35" t="s">
        <v>52</v>
      </c>
      <c r="B1345" s="35" t="s">
        <v>221</v>
      </c>
      <c r="C1345" s="35" t="s">
        <v>223</v>
      </c>
      <c r="D1345" s="35" t="s">
        <v>226</v>
      </c>
      <c r="E1345" s="35">
        <v>15</v>
      </c>
      <c r="F1345" s="35" t="s">
        <v>349</v>
      </c>
      <c r="G1345" s="35">
        <v>0.65</v>
      </c>
    </row>
    <row r="1346" spans="1:7" x14ac:dyDescent="0.2">
      <c r="A1346" s="35" t="s">
        <v>75</v>
      </c>
      <c r="B1346" s="35" t="s">
        <v>75</v>
      </c>
      <c r="C1346" s="35" t="s">
        <v>65</v>
      </c>
      <c r="D1346" s="35" t="s">
        <v>233</v>
      </c>
      <c r="E1346" s="35">
        <v>16</v>
      </c>
      <c r="F1346" s="35" t="s">
        <v>349</v>
      </c>
      <c r="G1346" s="35">
        <v>0.63</v>
      </c>
    </row>
    <row r="1347" spans="1:7" x14ac:dyDescent="0.2">
      <c r="A1347" s="35" t="s">
        <v>75</v>
      </c>
      <c r="B1347" s="35" t="s">
        <v>75</v>
      </c>
      <c r="C1347" s="35" t="s">
        <v>65</v>
      </c>
      <c r="D1347" s="35" t="s">
        <v>227</v>
      </c>
      <c r="E1347" s="35">
        <v>16</v>
      </c>
      <c r="F1347" s="35" t="s">
        <v>349</v>
      </c>
      <c r="G1347" s="35">
        <v>0.65</v>
      </c>
    </row>
    <row r="1348" spans="1:7" x14ac:dyDescent="0.2">
      <c r="A1348" s="35" t="s">
        <v>75</v>
      </c>
      <c r="B1348" s="35" t="s">
        <v>75</v>
      </c>
      <c r="C1348" s="35" t="s">
        <v>65</v>
      </c>
      <c r="D1348" s="35" t="s">
        <v>228</v>
      </c>
      <c r="E1348" s="35">
        <v>16</v>
      </c>
      <c r="F1348" s="35" t="s">
        <v>349</v>
      </c>
      <c r="G1348" s="35">
        <v>0</v>
      </c>
    </row>
    <row r="1349" spans="1:7" x14ac:dyDescent="0.2">
      <c r="A1349" s="35" t="s">
        <v>75</v>
      </c>
      <c r="B1349" s="35" t="s">
        <v>75</v>
      </c>
      <c r="C1349" s="35" t="s">
        <v>65</v>
      </c>
      <c r="D1349" s="35" t="s">
        <v>229</v>
      </c>
      <c r="E1349" s="35">
        <v>16</v>
      </c>
      <c r="F1349" s="35" t="s">
        <v>349</v>
      </c>
      <c r="G1349" s="35">
        <v>0</v>
      </c>
    </row>
    <row r="1350" spans="1:7" x14ac:dyDescent="0.2">
      <c r="A1350" s="35" t="s">
        <v>75</v>
      </c>
      <c r="B1350" s="35" t="s">
        <v>75</v>
      </c>
      <c r="C1350" s="35" t="s">
        <v>65</v>
      </c>
      <c r="D1350" s="35" t="s">
        <v>234</v>
      </c>
      <c r="E1350" s="35">
        <v>16</v>
      </c>
      <c r="F1350" s="35" t="s">
        <v>349</v>
      </c>
      <c r="G1350" s="35">
        <v>0.66</v>
      </c>
    </row>
    <row r="1351" spans="1:7" x14ac:dyDescent="0.2">
      <c r="A1351" s="35" t="s">
        <v>75</v>
      </c>
      <c r="B1351" s="35" t="s">
        <v>75</v>
      </c>
      <c r="C1351" s="35" t="s">
        <v>223</v>
      </c>
      <c r="D1351" s="35" t="s">
        <v>230</v>
      </c>
      <c r="E1351" s="35">
        <v>16</v>
      </c>
      <c r="F1351" s="35" t="s">
        <v>349</v>
      </c>
      <c r="G1351" s="35">
        <v>0</v>
      </c>
    </row>
    <row r="1352" spans="1:7" x14ac:dyDescent="0.2">
      <c r="A1352" s="35" t="s">
        <v>75</v>
      </c>
      <c r="B1352" s="35" t="s">
        <v>75</v>
      </c>
      <c r="C1352" s="35" t="s">
        <v>223</v>
      </c>
      <c r="D1352" s="35" t="s">
        <v>231</v>
      </c>
      <c r="E1352" s="35">
        <v>16</v>
      </c>
      <c r="F1352" s="35" t="s">
        <v>349</v>
      </c>
      <c r="G1352" s="35">
        <v>0</v>
      </c>
    </row>
    <row r="1353" spans="1:7" x14ac:dyDescent="0.2">
      <c r="A1353" s="35" t="s">
        <v>75</v>
      </c>
      <c r="B1353" s="35" t="s">
        <v>75</v>
      </c>
      <c r="C1353" s="35" t="s">
        <v>223</v>
      </c>
      <c r="D1353" s="35" t="s">
        <v>235</v>
      </c>
      <c r="E1353" s="35">
        <v>16</v>
      </c>
      <c r="F1353" s="35" t="s">
        <v>349</v>
      </c>
      <c r="G1353" s="35">
        <v>0</v>
      </c>
    </row>
    <row r="1354" spans="1:7" x14ac:dyDescent="0.2">
      <c r="A1354" s="35" t="s">
        <v>75</v>
      </c>
      <c r="B1354" s="35" t="s">
        <v>75</v>
      </c>
      <c r="C1354" s="35" t="s">
        <v>223</v>
      </c>
      <c r="D1354" s="35" t="s">
        <v>232</v>
      </c>
      <c r="E1354" s="35">
        <v>16</v>
      </c>
      <c r="F1354" s="35" t="s">
        <v>349</v>
      </c>
      <c r="G1354" s="35">
        <v>0</v>
      </c>
    </row>
    <row r="1355" spans="1:7" x14ac:dyDescent="0.2">
      <c r="A1355" s="35" t="s">
        <v>75</v>
      </c>
      <c r="B1355" s="35" t="s">
        <v>75</v>
      </c>
      <c r="C1355" s="35" t="s">
        <v>223</v>
      </c>
      <c r="D1355" s="35" t="s">
        <v>236</v>
      </c>
      <c r="E1355" s="35">
        <v>16</v>
      </c>
      <c r="F1355" s="35" t="s">
        <v>349</v>
      </c>
      <c r="G1355" s="35">
        <v>0</v>
      </c>
    </row>
    <row r="1356" spans="1:7" x14ac:dyDescent="0.2">
      <c r="A1356" s="35" t="s">
        <v>75</v>
      </c>
      <c r="B1356" s="35" t="s">
        <v>221</v>
      </c>
      <c r="C1356" s="35" t="s">
        <v>65</v>
      </c>
      <c r="D1356" s="35" t="s">
        <v>222</v>
      </c>
      <c r="E1356" s="35">
        <v>16</v>
      </c>
      <c r="F1356" s="35" t="s">
        <v>349</v>
      </c>
      <c r="G1356" s="35">
        <v>0</v>
      </c>
    </row>
    <row r="1357" spans="1:7" x14ac:dyDescent="0.2">
      <c r="A1357" s="35" t="s">
        <v>75</v>
      </c>
      <c r="B1357" s="35" t="s">
        <v>221</v>
      </c>
      <c r="C1357" s="35" t="s">
        <v>223</v>
      </c>
      <c r="D1357" s="35" t="s">
        <v>224</v>
      </c>
      <c r="E1357" s="35">
        <v>16</v>
      </c>
      <c r="F1357" s="35" t="s">
        <v>349</v>
      </c>
      <c r="G1357" s="35">
        <v>0</v>
      </c>
    </row>
    <row r="1358" spans="1:7" x14ac:dyDescent="0.2">
      <c r="A1358" s="35" t="s">
        <v>52</v>
      </c>
      <c r="B1358" s="35" t="s">
        <v>52</v>
      </c>
      <c r="C1358" s="35" t="s">
        <v>65</v>
      </c>
      <c r="D1358" s="35" t="s">
        <v>237</v>
      </c>
      <c r="E1358" s="35">
        <v>16</v>
      </c>
      <c r="F1358" s="35" t="s">
        <v>349</v>
      </c>
      <c r="G1358" s="35">
        <v>0.57999999999999996</v>
      </c>
    </row>
    <row r="1359" spans="1:7" x14ac:dyDescent="0.2">
      <c r="A1359" s="35" t="s">
        <v>52</v>
      </c>
      <c r="B1359" s="35" t="s">
        <v>52</v>
      </c>
      <c r="C1359" s="35" t="s">
        <v>65</v>
      </c>
      <c r="D1359" s="35" t="s">
        <v>238</v>
      </c>
      <c r="E1359" s="35">
        <v>16</v>
      </c>
      <c r="F1359" s="35" t="s">
        <v>349</v>
      </c>
      <c r="G1359" s="35">
        <v>0.6</v>
      </c>
    </row>
    <row r="1360" spans="1:7" x14ac:dyDescent="0.2">
      <c r="A1360" s="35" t="s">
        <v>52</v>
      </c>
      <c r="B1360" s="35" t="s">
        <v>52</v>
      </c>
      <c r="C1360" s="35" t="s">
        <v>65</v>
      </c>
      <c r="D1360" s="35" t="s">
        <v>239</v>
      </c>
      <c r="E1360" s="35">
        <v>16</v>
      </c>
      <c r="F1360" s="35" t="s">
        <v>349</v>
      </c>
      <c r="G1360" s="35">
        <v>0.66</v>
      </c>
    </row>
    <row r="1361" spans="1:7" x14ac:dyDescent="0.2">
      <c r="A1361" s="35" t="s">
        <v>52</v>
      </c>
      <c r="B1361" s="35" t="s">
        <v>52</v>
      </c>
      <c r="C1361" s="35" t="s">
        <v>65</v>
      </c>
      <c r="D1361" s="35" t="s">
        <v>240</v>
      </c>
      <c r="E1361" s="35">
        <v>16</v>
      </c>
      <c r="F1361" s="35" t="s">
        <v>349</v>
      </c>
      <c r="G1361" s="35">
        <v>0.62</v>
      </c>
    </row>
    <row r="1362" spans="1:7" x14ac:dyDescent="0.2">
      <c r="A1362" s="35" t="s">
        <v>52</v>
      </c>
      <c r="B1362" s="35" t="s">
        <v>52</v>
      </c>
      <c r="C1362" s="35" t="s">
        <v>65</v>
      </c>
      <c r="D1362" s="35" t="s">
        <v>245</v>
      </c>
      <c r="E1362" s="35">
        <v>16</v>
      </c>
      <c r="F1362" s="35" t="s">
        <v>349</v>
      </c>
      <c r="G1362" s="35">
        <v>0.64</v>
      </c>
    </row>
    <row r="1363" spans="1:7" x14ac:dyDescent="0.2">
      <c r="A1363" s="35" t="s">
        <v>52</v>
      </c>
      <c r="B1363" s="35" t="s">
        <v>52</v>
      </c>
      <c r="C1363" s="35" t="s">
        <v>223</v>
      </c>
      <c r="D1363" s="35" t="s">
        <v>241</v>
      </c>
      <c r="E1363" s="35">
        <v>16</v>
      </c>
      <c r="F1363" s="35" t="s">
        <v>349</v>
      </c>
      <c r="G1363" s="35">
        <v>0.54</v>
      </c>
    </row>
    <row r="1364" spans="1:7" x14ac:dyDescent="0.2">
      <c r="A1364" s="35" t="s">
        <v>52</v>
      </c>
      <c r="B1364" s="35" t="s">
        <v>52</v>
      </c>
      <c r="C1364" s="35" t="s">
        <v>223</v>
      </c>
      <c r="D1364" s="35" t="s">
        <v>246</v>
      </c>
      <c r="E1364" s="35">
        <v>16</v>
      </c>
      <c r="F1364" s="35" t="s">
        <v>349</v>
      </c>
      <c r="G1364" s="35">
        <v>0.53</v>
      </c>
    </row>
    <row r="1365" spans="1:7" x14ac:dyDescent="0.2">
      <c r="A1365" s="35" t="s">
        <v>52</v>
      </c>
      <c r="B1365" s="35" t="s">
        <v>52</v>
      </c>
      <c r="C1365" s="35" t="s">
        <v>223</v>
      </c>
      <c r="D1365" s="35" t="s">
        <v>242</v>
      </c>
      <c r="E1365" s="35">
        <v>16</v>
      </c>
      <c r="F1365" s="35" t="s">
        <v>349</v>
      </c>
      <c r="G1365" s="35">
        <v>0.6</v>
      </c>
    </row>
    <row r="1366" spans="1:7" x14ac:dyDescent="0.2">
      <c r="A1366" s="35" t="s">
        <v>52</v>
      </c>
      <c r="B1366" s="35" t="s">
        <v>52</v>
      </c>
      <c r="C1366" s="35" t="s">
        <v>223</v>
      </c>
      <c r="D1366" s="35" t="s">
        <v>243</v>
      </c>
      <c r="E1366" s="35">
        <v>16</v>
      </c>
      <c r="F1366" s="35" t="s">
        <v>349</v>
      </c>
      <c r="G1366" s="35">
        <v>0.59</v>
      </c>
    </row>
    <row r="1367" spans="1:7" x14ac:dyDescent="0.2">
      <c r="A1367" s="35" t="s">
        <v>52</v>
      </c>
      <c r="B1367" s="35" t="s">
        <v>52</v>
      </c>
      <c r="C1367" s="35" t="s">
        <v>223</v>
      </c>
      <c r="D1367" s="35" t="s">
        <v>244</v>
      </c>
      <c r="E1367" s="35">
        <v>16</v>
      </c>
      <c r="F1367" s="35" t="s">
        <v>349</v>
      </c>
      <c r="G1367" s="35">
        <v>0.53</v>
      </c>
    </row>
    <row r="1368" spans="1:7" x14ac:dyDescent="0.2">
      <c r="A1368" s="35" t="s">
        <v>52</v>
      </c>
      <c r="B1368" s="35" t="s">
        <v>221</v>
      </c>
      <c r="C1368" s="35" t="s">
        <v>65</v>
      </c>
      <c r="D1368" s="35" t="s">
        <v>225</v>
      </c>
      <c r="E1368" s="35">
        <v>16</v>
      </c>
      <c r="F1368" s="35" t="s">
        <v>349</v>
      </c>
      <c r="G1368" s="35">
        <v>0.66</v>
      </c>
    </row>
    <row r="1369" spans="1:7" x14ac:dyDescent="0.2">
      <c r="A1369" s="35" t="s">
        <v>52</v>
      </c>
      <c r="B1369" s="35" t="s">
        <v>221</v>
      </c>
      <c r="C1369" s="35" t="s">
        <v>223</v>
      </c>
      <c r="D1369" s="35" t="s">
        <v>226</v>
      </c>
      <c r="E1369" s="35">
        <v>16</v>
      </c>
      <c r="F1369" s="35" t="s">
        <v>349</v>
      </c>
      <c r="G1369" s="35">
        <v>0.63</v>
      </c>
    </row>
    <row r="1370" spans="1:7" x14ac:dyDescent="0.2">
      <c r="A1370" s="35" t="s">
        <v>75</v>
      </c>
      <c r="B1370" s="35" t="s">
        <v>75</v>
      </c>
      <c r="C1370" s="35" t="s">
        <v>65</v>
      </c>
      <c r="D1370" s="35" t="s">
        <v>233</v>
      </c>
      <c r="E1370" s="35">
        <v>17</v>
      </c>
      <c r="F1370" s="35" t="s">
        <v>349</v>
      </c>
      <c r="G1370" s="35">
        <v>0.64</v>
      </c>
    </row>
    <row r="1371" spans="1:7" x14ac:dyDescent="0.2">
      <c r="A1371" s="35" t="s">
        <v>75</v>
      </c>
      <c r="B1371" s="35" t="s">
        <v>75</v>
      </c>
      <c r="C1371" s="35" t="s">
        <v>65</v>
      </c>
      <c r="D1371" s="35" t="s">
        <v>227</v>
      </c>
      <c r="E1371" s="35">
        <v>17</v>
      </c>
      <c r="F1371" s="35" t="s">
        <v>349</v>
      </c>
      <c r="G1371" s="35">
        <v>0.61</v>
      </c>
    </row>
    <row r="1372" spans="1:7" x14ac:dyDescent="0.2">
      <c r="A1372" s="35" t="s">
        <v>75</v>
      </c>
      <c r="B1372" s="35" t="s">
        <v>75</v>
      </c>
      <c r="C1372" s="35" t="s">
        <v>65</v>
      </c>
      <c r="D1372" s="35" t="s">
        <v>228</v>
      </c>
      <c r="E1372" s="35">
        <v>17</v>
      </c>
      <c r="F1372" s="35" t="s">
        <v>349</v>
      </c>
      <c r="G1372" s="35">
        <v>0.64</v>
      </c>
    </row>
    <row r="1373" spans="1:7" x14ac:dyDescent="0.2">
      <c r="A1373" s="35" t="s">
        <v>75</v>
      </c>
      <c r="B1373" s="35" t="s">
        <v>75</v>
      </c>
      <c r="C1373" s="35" t="s">
        <v>65</v>
      </c>
      <c r="D1373" s="35" t="s">
        <v>229</v>
      </c>
      <c r="E1373" s="35">
        <v>17</v>
      </c>
      <c r="F1373" s="35" t="s">
        <v>349</v>
      </c>
      <c r="G1373" s="35">
        <v>0.63</v>
      </c>
    </row>
    <row r="1374" spans="1:7" x14ac:dyDescent="0.2">
      <c r="A1374" s="35" t="s">
        <v>75</v>
      </c>
      <c r="B1374" s="35" t="s">
        <v>75</v>
      </c>
      <c r="C1374" s="35" t="s">
        <v>65</v>
      </c>
      <c r="D1374" s="35" t="s">
        <v>234</v>
      </c>
      <c r="E1374" s="35">
        <v>17</v>
      </c>
      <c r="F1374" s="35" t="s">
        <v>349</v>
      </c>
      <c r="G1374" s="35">
        <v>0.64</v>
      </c>
    </row>
    <row r="1375" spans="1:7" x14ac:dyDescent="0.2">
      <c r="A1375" s="35" t="s">
        <v>75</v>
      </c>
      <c r="B1375" s="35" t="s">
        <v>75</v>
      </c>
      <c r="C1375" s="35" t="s">
        <v>223</v>
      </c>
      <c r="D1375" s="35" t="s">
        <v>230</v>
      </c>
      <c r="E1375" s="35">
        <v>17</v>
      </c>
      <c r="F1375" s="35" t="s">
        <v>349</v>
      </c>
      <c r="G1375" s="35">
        <v>0</v>
      </c>
    </row>
    <row r="1376" spans="1:7" x14ac:dyDescent="0.2">
      <c r="A1376" s="35" t="s">
        <v>75</v>
      </c>
      <c r="B1376" s="35" t="s">
        <v>75</v>
      </c>
      <c r="C1376" s="35" t="s">
        <v>223</v>
      </c>
      <c r="D1376" s="35" t="s">
        <v>231</v>
      </c>
      <c r="E1376" s="35">
        <v>17</v>
      </c>
      <c r="F1376" s="35" t="s">
        <v>349</v>
      </c>
      <c r="G1376" s="35">
        <v>0</v>
      </c>
    </row>
    <row r="1377" spans="1:7" x14ac:dyDescent="0.2">
      <c r="A1377" s="35" t="s">
        <v>75</v>
      </c>
      <c r="B1377" s="35" t="s">
        <v>75</v>
      </c>
      <c r="C1377" s="35" t="s">
        <v>223</v>
      </c>
      <c r="D1377" s="35" t="s">
        <v>235</v>
      </c>
      <c r="E1377" s="35">
        <v>17</v>
      </c>
      <c r="F1377" s="35" t="s">
        <v>349</v>
      </c>
      <c r="G1377" s="35">
        <v>0</v>
      </c>
    </row>
    <row r="1378" spans="1:7" x14ac:dyDescent="0.2">
      <c r="A1378" s="35" t="s">
        <v>75</v>
      </c>
      <c r="B1378" s="35" t="s">
        <v>75</v>
      </c>
      <c r="C1378" s="35" t="s">
        <v>223</v>
      </c>
      <c r="D1378" s="35" t="s">
        <v>232</v>
      </c>
      <c r="E1378" s="35">
        <v>17</v>
      </c>
      <c r="F1378" s="35" t="s">
        <v>349</v>
      </c>
      <c r="G1378" s="35">
        <v>0</v>
      </c>
    </row>
    <row r="1379" spans="1:7" x14ac:dyDescent="0.2">
      <c r="A1379" s="35" t="s">
        <v>75</v>
      </c>
      <c r="B1379" s="35" t="s">
        <v>75</v>
      </c>
      <c r="C1379" s="35" t="s">
        <v>223</v>
      </c>
      <c r="D1379" s="35" t="s">
        <v>236</v>
      </c>
      <c r="E1379" s="35">
        <v>17</v>
      </c>
      <c r="F1379" s="35" t="s">
        <v>349</v>
      </c>
      <c r="G1379" s="35">
        <v>0</v>
      </c>
    </row>
    <row r="1380" spans="1:7" x14ac:dyDescent="0.2">
      <c r="A1380" s="35" t="s">
        <v>75</v>
      </c>
      <c r="B1380" s="35" t="s">
        <v>221</v>
      </c>
      <c r="C1380" s="35" t="s">
        <v>65</v>
      </c>
      <c r="D1380" s="35" t="s">
        <v>222</v>
      </c>
      <c r="E1380" s="35">
        <v>17</v>
      </c>
      <c r="F1380" s="35" t="s">
        <v>349</v>
      </c>
      <c r="G1380" s="35">
        <v>0.64</v>
      </c>
    </row>
    <row r="1381" spans="1:7" x14ac:dyDescent="0.2">
      <c r="A1381" s="35" t="s">
        <v>75</v>
      </c>
      <c r="B1381" s="35" t="s">
        <v>221</v>
      </c>
      <c r="C1381" s="35" t="s">
        <v>223</v>
      </c>
      <c r="D1381" s="35" t="s">
        <v>224</v>
      </c>
      <c r="E1381" s="35">
        <v>17</v>
      </c>
      <c r="F1381" s="35" t="s">
        <v>349</v>
      </c>
      <c r="G1381" s="35">
        <v>0</v>
      </c>
    </row>
    <row r="1382" spans="1:7" x14ac:dyDescent="0.2">
      <c r="A1382" s="35" t="s">
        <v>52</v>
      </c>
      <c r="B1382" s="35" t="s">
        <v>52</v>
      </c>
      <c r="C1382" s="35" t="s">
        <v>65</v>
      </c>
      <c r="D1382" s="35" t="s">
        <v>237</v>
      </c>
      <c r="E1382" s="35">
        <v>17</v>
      </c>
      <c r="F1382" s="35" t="s">
        <v>349</v>
      </c>
      <c r="G1382" s="35">
        <v>0.65</v>
      </c>
    </row>
    <row r="1383" spans="1:7" x14ac:dyDescent="0.2">
      <c r="A1383" s="35" t="s">
        <v>52</v>
      </c>
      <c r="B1383" s="35" t="s">
        <v>52</v>
      </c>
      <c r="C1383" s="35" t="s">
        <v>65</v>
      </c>
      <c r="D1383" s="35" t="s">
        <v>238</v>
      </c>
      <c r="E1383" s="35">
        <v>17</v>
      </c>
      <c r="F1383" s="35" t="s">
        <v>349</v>
      </c>
      <c r="G1383" s="35">
        <v>0.66</v>
      </c>
    </row>
    <row r="1384" spans="1:7" x14ac:dyDescent="0.2">
      <c r="A1384" s="35" t="s">
        <v>52</v>
      </c>
      <c r="B1384" s="35" t="s">
        <v>52</v>
      </c>
      <c r="C1384" s="35" t="s">
        <v>65</v>
      </c>
      <c r="D1384" s="35" t="s">
        <v>239</v>
      </c>
      <c r="E1384" s="35">
        <v>17</v>
      </c>
      <c r="F1384" s="35" t="s">
        <v>349</v>
      </c>
      <c r="G1384" s="35">
        <v>0.66</v>
      </c>
    </row>
    <row r="1385" spans="1:7" x14ac:dyDescent="0.2">
      <c r="A1385" s="35" t="s">
        <v>52</v>
      </c>
      <c r="B1385" s="35" t="s">
        <v>52</v>
      </c>
      <c r="C1385" s="35" t="s">
        <v>65</v>
      </c>
      <c r="D1385" s="35" t="s">
        <v>240</v>
      </c>
      <c r="E1385" s="35">
        <v>17</v>
      </c>
      <c r="F1385" s="35" t="s">
        <v>349</v>
      </c>
      <c r="G1385" s="35">
        <v>0.66</v>
      </c>
    </row>
    <row r="1386" spans="1:7" x14ac:dyDescent="0.2">
      <c r="A1386" s="35" t="s">
        <v>52</v>
      </c>
      <c r="B1386" s="35" t="s">
        <v>52</v>
      </c>
      <c r="C1386" s="35" t="s">
        <v>65</v>
      </c>
      <c r="D1386" s="35" t="s">
        <v>245</v>
      </c>
      <c r="E1386" s="35">
        <v>17</v>
      </c>
      <c r="F1386" s="35" t="s">
        <v>349</v>
      </c>
      <c r="G1386" s="35">
        <v>0.65</v>
      </c>
    </row>
    <row r="1387" spans="1:7" x14ac:dyDescent="0.2">
      <c r="A1387" s="35" t="s">
        <v>52</v>
      </c>
      <c r="B1387" s="35" t="s">
        <v>52</v>
      </c>
      <c r="C1387" s="35" t="s">
        <v>223</v>
      </c>
      <c r="D1387" s="35" t="s">
        <v>241</v>
      </c>
      <c r="E1387" s="35">
        <v>17</v>
      </c>
      <c r="F1387" s="35" t="s">
        <v>349</v>
      </c>
      <c r="G1387" s="35">
        <v>0.57999999999999996</v>
      </c>
    </row>
    <row r="1388" spans="1:7" x14ac:dyDescent="0.2">
      <c r="A1388" s="35" t="s">
        <v>52</v>
      </c>
      <c r="B1388" s="35" t="s">
        <v>52</v>
      </c>
      <c r="C1388" s="35" t="s">
        <v>223</v>
      </c>
      <c r="D1388" s="35" t="s">
        <v>246</v>
      </c>
      <c r="E1388" s="35">
        <v>17</v>
      </c>
      <c r="F1388" s="35" t="s">
        <v>349</v>
      </c>
      <c r="G1388" s="35">
        <v>0.63</v>
      </c>
    </row>
    <row r="1389" spans="1:7" x14ac:dyDescent="0.2">
      <c r="A1389" s="35" t="s">
        <v>52</v>
      </c>
      <c r="B1389" s="35" t="s">
        <v>52</v>
      </c>
      <c r="C1389" s="35" t="s">
        <v>223</v>
      </c>
      <c r="D1389" s="35" t="s">
        <v>242</v>
      </c>
      <c r="E1389" s="35">
        <v>17</v>
      </c>
      <c r="F1389" s="35" t="s">
        <v>349</v>
      </c>
      <c r="G1389" s="35">
        <v>0.61</v>
      </c>
    </row>
    <row r="1390" spans="1:7" x14ac:dyDescent="0.2">
      <c r="A1390" s="35" t="s">
        <v>52</v>
      </c>
      <c r="B1390" s="35" t="s">
        <v>52</v>
      </c>
      <c r="C1390" s="35" t="s">
        <v>223</v>
      </c>
      <c r="D1390" s="35" t="s">
        <v>243</v>
      </c>
      <c r="E1390" s="35">
        <v>17</v>
      </c>
      <c r="F1390" s="35" t="s">
        <v>349</v>
      </c>
      <c r="G1390" s="35">
        <v>0.64</v>
      </c>
    </row>
    <row r="1391" spans="1:7" x14ac:dyDescent="0.2">
      <c r="A1391" s="35" t="s">
        <v>52</v>
      </c>
      <c r="B1391" s="35" t="s">
        <v>52</v>
      </c>
      <c r="C1391" s="35" t="s">
        <v>223</v>
      </c>
      <c r="D1391" s="35" t="s">
        <v>244</v>
      </c>
      <c r="E1391" s="35">
        <v>17</v>
      </c>
      <c r="F1391" s="35" t="s">
        <v>349</v>
      </c>
      <c r="G1391" s="35">
        <v>0.64</v>
      </c>
    </row>
    <row r="1392" spans="1:7" x14ac:dyDescent="0.2">
      <c r="A1392" s="35" t="s">
        <v>52</v>
      </c>
      <c r="B1392" s="35" t="s">
        <v>221</v>
      </c>
      <c r="C1392" s="35" t="s">
        <v>65</v>
      </c>
      <c r="D1392" s="35" t="s">
        <v>225</v>
      </c>
      <c r="E1392" s="35">
        <v>17</v>
      </c>
      <c r="F1392" s="35" t="s">
        <v>349</v>
      </c>
      <c r="G1392" s="35">
        <v>0.67</v>
      </c>
    </row>
    <row r="1393" spans="1:7" x14ac:dyDescent="0.2">
      <c r="A1393" s="35" t="s">
        <v>52</v>
      </c>
      <c r="B1393" s="35" t="s">
        <v>221</v>
      </c>
      <c r="C1393" s="35" t="s">
        <v>223</v>
      </c>
      <c r="D1393" s="35" t="s">
        <v>226</v>
      </c>
      <c r="E1393" s="35">
        <v>17</v>
      </c>
      <c r="F1393" s="35" t="s">
        <v>349</v>
      </c>
      <c r="G1393" s="35">
        <v>0.64</v>
      </c>
    </row>
    <row r="1394" spans="1:7" x14ac:dyDescent="0.2">
      <c r="A1394" s="35" t="s">
        <v>75</v>
      </c>
      <c r="B1394" s="35" t="s">
        <v>75</v>
      </c>
      <c r="C1394" s="35" t="s">
        <v>65</v>
      </c>
      <c r="D1394" s="35" t="s">
        <v>233</v>
      </c>
      <c r="E1394" s="35">
        <v>18</v>
      </c>
      <c r="F1394" s="35" t="s">
        <v>349</v>
      </c>
      <c r="G1394" s="35">
        <v>0.64</v>
      </c>
    </row>
    <row r="1395" spans="1:7" x14ac:dyDescent="0.2">
      <c r="A1395" s="35" t="s">
        <v>75</v>
      </c>
      <c r="B1395" s="35" t="s">
        <v>75</v>
      </c>
      <c r="C1395" s="35" t="s">
        <v>65</v>
      </c>
      <c r="D1395" s="35" t="s">
        <v>227</v>
      </c>
      <c r="E1395" s="35">
        <v>18</v>
      </c>
      <c r="F1395" s="35" t="s">
        <v>349</v>
      </c>
      <c r="G1395" s="35">
        <v>0.64</v>
      </c>
    </row>
    <row r="1396" spans="1:7" x14ac:dyDescent="0.2">
      <c r="A1396" s="35" t="s">
        <v>75</v>
      </c>
      <c r="B1396" s="35" t="s">
        <v>75</v>
      </c>
      <c r="C1396" s="35" t="s">
        <v>65</v>
      </c>
      <c r="D1396" s="35" t="s">
        <v>228</v>
      </c>
      <c r="E1396" s="35">
        <v>18</v>
      </c>
      <c r="F1396" s="35" t="s">
        <v>349</v>
      </c>
      <c r="G1396" s="35">
        <v>0.65</v>
      </c>
    </row>
    <row r="1397" spans="1:7" x14ac:dyDescent="0.2">
      <c r="A1397" s="35" t="s">
        <v>75</v>
      </c>
      <c r="B1397" s="35" t="s">
        <v>75</v>
      </c>
      <c r="C1397" s="35" t="s">
        <v>65</v>
      </c>
      <c r="D1397" s="35" t="s">
        <v>229</v>
      </c>
      <c r="E1397" s="35">
        <v>18</v>
      </c>
      <c r="F1397" s="35" t="s">
        <v>349</v>
      </c>
      <c r="G1397" s="35">
        <v>0.64</v>
      </c>
    </row>
    <row r="1398" spans="1:7" x14ac:dyDescent="0.2">
      <c r="A1398" s="35" t="s">
        <v>75</v>
      </c>
      <c r="B1398" s="35" t="s">
        <v>75</v>
      </c>
      <c r="C1398" s="35" t="s">
        <v>65</v>
      </c>
      <c r="D1398" s="35" t="s">
        <v>234</v>
      </c>
      <c r="E1398" s="35">
        <v>18</v>
      </c>
      <c r="F1398" s="35" t="s">
        <v>349</v>
      </c>
      <c r="G1398" s="35">
        <v>0.65</v>
      </c>
    </row>
    <row r="1399" spans="1:7" x14ac:dyDescent="0.2">
      <c r="A1399" s="35" t="s">
        <v>75</v>
      </c>
      <c r="B1399" s="35" t="s">
        <v>75</v>
      </c>
      <c r="C1399" s="35" t="s">
        <v>223</v>
      </c>
      <c r="D1399" s="35" t="s">
        <v>230</v>
      </c>
      <c r="E1399" s="35">
        <v>18</v>
      </c>
      <c r="F1399" s="35" t="s">
        <v>349</v>
      </c>
      <c r="G1399" s="35">
        <v>0.59</v>
      </c>
    </row>
    <row r="1400" spans="1:7" x14ac:dyDescent="0.2">
      <c r="A1400" s="35" t="s">
        <v>75</v>
      </c>
      <c r="B1400" s="35" t="s">
        <v>75</v>
      </c>
      <c r="C1400" s="35" t="s">
        <v>223</v>
      </c>
      <c r="D1400" s="35" t="s">
        <v>231</v>
      </c>
      <c r="E1400" s="35">
        <v>18</v>
      </c>
      <c r="F1400" s="35" t="s">
        <v>349</v>
      </c>
      <c r="G1400" s="35">
        <v>0</v>
      </c>
    </row>
    <row r="1401" spans="1:7" x14ac:dyDescent="0.2">
      <c r="A1401" s="35" t="s">
        <v>75</v>
      </c>
      <c r="B1401" s="35" t="s">
        <v>75</v>
      </c>
      <c r="C1401" s="35" t="s">
        <v>223</v>
      </c>
      <c r="D1401" s="35" t="s">
        <v>235</v>
      </c>
      <c r="E1401" s="35">
        <v>18</v>
      </c>
      <c r="F1401" s="35" t="s">
        <v>349</v>
      </c>
      <c r="G1401" s="35">
        <v>0.63</v>
      </c>
    </row>
    <row r="1402" spans="1:7" x14ac:dyDescent="0.2">
      <c r="A1402" s="35" t="s">
        <v>75</v>
      </c>
      <c r="B1402" s="35" t="s">
        <v>75</v>
      </c>
      <c r="C1402" s="35" t="s">
        <v>223</v>
      </c>
      <c r="D1402" s="35" t="s">
        <v>232</v>
      </c>
      <c r="E1402" s="35">
        <v>18</v>
      </c>
      <c r="F1402" s="35" t="s">
        <v>349</v>
      </c>
      <c r="G1402" s="35">
        <v>0.62</v>
      </c>
    </row>
    <row r="1403" spans="1:7" x14ac:dyDescent="0.2">
      <c r="A1403" s="35" t="s">
        <v>75</v>
      </c>
      <c r="B1403" s="35" t="s">
        <v>75</v>
      </c>
      <c r="C1403" s="35" t="s">
        <v>223</v>
      </c>
      <c r="D1403" s="35" t="s">
        <v>236</v>
      </c>
      <c r="E1403" s="35">
        <v>18</v>
      </c>
      <c r="F1403" s="35" t="s">
        <v>349</v>
      </c>
      <c r="G1403" s="35">
        <v>0</v>
      </c>
    </row>
    <row r="1404" spans="1:7" x14ac:dyDescent="0.2">
      <c r="A1404" s="35" t="s">
        <v>75</v>
      </c>
      <c r="B1404" s="35" t="s">
        <v>221</v>
      </c>
      <c r="C1404" s="35" t="s">
        <v>65</v>
      </c>
      <c r="D1404" s="35" t="s">
        <v>222</v>
      </c>
      <c r="E1404" s="35">
        <v>18</v>
      </c>
      <c r="F1404" s="35" t="s">
        <v>349</v>
      </c>
      <c r="G1404" s="35">
        <v>0.65</v>
      </c>
    </row>
    <row r="1405" spans="1:7" x14ac:dyDescent="0.2">
      <c r="A1405" s="35" t="s">
        <v>75</v>
      </c>
      <c r="B1405" s="35" t="s">
        <v>221</v>
      </c>
      <c r="C1405" s="35" t="s">
        <v>223</v>
      </c>
      <c r="D1405" s="35" t="s">
        <v>224</v>
      </c>
      <c r="E1405" s="35">
        <v>18</v>
      </c>
      <c r="F1405" s="35" t="s">
        <v>349</v>
      </c>
      <c r="G1405" s="35">
        <v>0</v>
      </c>
    </row>
    <row r="1406" spans="1:7" x14ac:dyDescent="0.2">
      <c r="A1406" s="35" t="s">
        <v>52</v>
      </c>
      <c r="B1406" s="35" t="s">
        <v>52</v>
      </c>
      <c r="C1406" s="35" t="s">
        <v>65</v>
      </c>
      <c r="D1406" s="35" t="s">
        <v>237</v>
      </c>
      <c r="E1406" s="35">
        <v>18</v>
      </c>
      <c r="F1406" s="35" t="s">
        <v>349</v>
      </c>
      <c r="G1406" s="35">
        <v>0.66</v>
      </c>
    </row>
    <row r="1407" spans="1:7" x14ac:dyDescent="0.2">
      <c r="A1407" s="35" t="s">
        <v>52</v>
      </c>
      <c r="B1407" s="35" t="s">
        <v>52</v>
      </c>
      <c r="C1407" s="35" t="s">
        <v>65</v>
      </c>
      <c r="D1407" s="35" t="s">
        <v>238</v>
      </c>
      <c r="E1407" s="35">
        <v>18</v>
      </c>
      <c r="F1407" s="35" t="s">
        <v>349</v>
      </c>
      <c r="G1407" s="35">
        <v>0.66</v>
      </c>
    </row>
    <row r="1408" spans="1:7" x14ac:dyDescent="0.2">
      <c r="A1408" s="35" t="s">
        <v>52</v>
      </c>
      <c r="B1408" s="35" t="s">
        <v>52</v>
      </c>
      <c r="C1408" s="35" t="s">
        <v>65</v>
      </c>
      <c r="D1408" s="35" t="s">
        <v>239</v>
      </c>
      <c r="E1408" s="35">
        <v>18</v>
      </c>
      <c r="F1408" s="35" t="s">
        <v>349</v>
      </c>
      <c r="G1408" s="35">
        <v>0.66</v>
      </c>
    </row>
    <row r="1409" spans="1:7" x14ac:dyDescent="0.2">
      <c r="A1409" s="35" t="s">
        <v>52</v>
      </c>
      <c r="B1409" s="35" t="s">
        <v>52</v>
      </c>
      <c r="C1409" s="35" t="s">
        <v>65</v>
      </c>
      <c r="D1409" s="35" t="s">
        <v>240</v>
      </c>
      <c r="E1409" s="35">
        <v>18</v>
      </c>
      <c r="F1409" s="35" t="s">
        <v>349</v>
      </c>
      <c r="G1409" s="35">
        <v>0.66</v>
      </c>
    </row>
    <row r="1410" spans="1:7" x14ac:dyDescent="0.2">
      <c r="A1410" s="35" t="s">
        <v>52</v>
      </c>
      <c r="B1410" s="35" t="s">
        <v>52</v>
      </c>
      <c r="C1410" s="35" t="s">
        <v>65</v>
      </c>
      <c r="D1410" s="35" t="s">
        <v>245</v>
      </c>
      <c r="E1410" s="35">
        <v>18</v>
      </c>
      <c r="F1410" s="35" t="s">
        <v>349</v>
      </c>
      <c r="G1410" s="35">
        <v>0.67</v>
      </c>
    </row>
    <row r="1411" spans="1:7" x14ac:dyDescent="0.2">
      <c r="A1411" s="35" t="s">
        <v>52</v>
      </c>
      <c r="B1411" s="35" t="s">
        <v>52</v>
      </c>
      <c r="C1411" s="35" t="s">
        <v>223</v>
      </c>
      <c r="D1411" s="35" t="s">
        <v>241</v>
      </c>
      <c r="E1411" s="35">
        <v>18</v>
      </c>
      <c r="F1411" s="35" t="s">
        <v>349</v>
      </c>
      <c r="G1411" s="35">
        <v>0.66</v>
      </c>
    </row>
    <row r="1412" spans="1:7" x14ac:dyDescent="0.2">
      <c r="A1412" s="35" t="s">
        <v>52</v>
      </c>
      <c r="B1412" s="35" t="s">
        <v>52</v>
      </c>
      <c r="C1412" s="35" t="s">
        <v>223</v>
      </c>
      <c r="D1412" s="35" t="s">
        <v>246</v>
      </c>
      <c r="E1412" s="35">
        <v>18</v>
      </c>
      <c r="F1412" s="35" t="s">
        <v>349</v>
      </c>
      <c r="G1412" s="35">
        <v>0.66</v>
      </c>
    </row>
    <row r="1413" spans="1:7" x14ac:dyDescent="0.2">
      <c r="A1413" s="35" t="s">
        <v>52</v>
      </c>
      <c r="B1413" s="35" t="s">
        <v>52</v>
      </c>
      <c r="C1413" s="35" t="s">
        <v>223</v>
      </c>
      <c r="D1413" s="35" t="s">
        <v>242</v>
      </c>
      <c r="E1413" s="35">
        <v>18</v>
      </c>
      <c r="F1413" s="35" t="s">
        <v>349</v>
      </c>
      <c r="G1413" s="35">
        <v>0.66</v>
      </c>
    </row>
    <row r="1414" spans="1:7" x14ac:dyDescent="0.2">
      <c r="A1414" s="35" t="s">
        <v>52</v>
      </c>
      <c r="B1414" s="35" t="s">
        <v>52</v>
      </c>
      <c r="C1414" s="35" t="s">
        <v>223</v>
      </c>
      <c r="D1414" s="35" t="s">
        <v>243</v>
      </c>
      <c r="E1414" s="35">
        <v>18</v>
      </c>
      <c r="F1414" s="35" t="s">
        <v>349</v>
      </c>
      <c r="G1414" s="35">
        <v>0.67</v>
      </c>
    </row>
    <row r="1415" spans="1:7" x14ac:dyDescent="0.2">
      <c r="A1415" s="35" t="s">
        <v>52</v>
      </c>
      <c r="B1415" s="35" t="s">
        <v>52</v>
      </c>
      <c r="C1415" s="35" t="s">
        <v>223</v>
      </c>
      <c r="D1415" s="35" t="s">
        <v>244</v>
      </c>
      <c r="E1415" s="35">
        <v>18</v>
      </c>
      <c r="F1415" s="35" t="s">
        <v>349</v>
      </c>
      <c r="G1415" s="35">
        <v>0.67</v>
      </c>
    </row>
    <row r="1416" spans="1:7" x14ac:dyDescent="0.2">
      <c r="A1416" s="35" t="s">
        <v>52</v>
      </c>
      <c r="B1416" s="35" t="s">
        <v>221</v>
      </c>
      <c r="C1416" s="35" t="s">
        <v>65</v>
      </c>
      <c r="D1416" s="35" t="s">
        <v>225</v>
      </c>
      <c r="E1416" s="35">
        <v>18</v>
      </c>
      <c r="F1416" s="35" t="s">
        <v>349</v>
      </c>
      <c r="G1416" s="35">
        <v>0.67</v>
      </c>
    </row>
    <row r="1417" spans="1:7" x14ac:dyDescent="0.2">
      <c r="A1417" s="35" t="s">
        <v>52</v>
      </c>
      <c r="B1417" s="35" t="s">
        <v>221</v>
      </c>
      <c r="C1417" s="35" t="s">
        <v>223</v>
      </c>
      <c r="D1417" s="35" t="s">
        <v>226</v>
      </c>
      <c r="E1417" s="35">
        <v>18</v>
      </c>
      <c r="F1417" s="35" t="s">
        <v>349</v>
      </c>
      <c r="G1417" s="35">
        <v>0.68</v>
      </c>
    </row>
    <row r="1418" spans="1:7" x14ac:dyDescent="0.2">
      <c r="A1418" s="35" t="s">
        <v>75</v>
      </c>
      <c r="B1418" s="35" t="s">
        <v>75</v>
      </c>
      <c r="C1418" s="35" t="s">
        <v>65</v>
      </c>
      <c r="D1418" s="35" t="s">
        <v>233</v>
      </c>
      <c r="E1418" s="35">
        <v>21</v>
      </c>
      <c r="F1418" s="35" t="s">
        <v>349</v>
      </c>
      <c r="G1418" s="35">
        <v>0.64</v>
      </c>
    </row>
    <row r="1419" spans="1:7" x14ac:dyDescent="0.2">
      <c r="A1419" s="35" t="s">
        <v>75</v>
      </c>
      <c r="B1419" s="35" t="s">
        <v>75</v>
      </c>
      <c r="C1419" s="35" t="s">
        <v>65</v>
      </c>
      <c r="D1419" s="35" t="s">
        <v>227</v>
      </c>
      <c r="E1419" s="35">
        <v>21</v>
      </c>
      <c r="F1419" s="35" t="s">
        <v>349</v>
      </c>
      <c r="G1419" s="35">
        <v>0.61</v>
      </c>
    </row>
    <row r="1420" spans="1:7" x14ac:dyDescent="0.2">
      <c r="A1420" s="35" t="s">
        <v>75</v>
      </c>
      <c r="B1420" s="35" t="s">
        <v>75</v>
      </c>
      <c r="C1420" s="35" t="s">
        <v>65</v>
      </c>
      <c r="D1420" s="35" t="s">
        <v>228</v>
      </c>
      <c r="E1420" s="35">
        <v>21</v>
      </c>
      <c r="F1420" s="35" t="s">
        <v>349</v>
      </c>
      <c r="G1420" s="35">
        <v>0.61</v>
      </c>
    </row>
    <row r="1421" spans="1:7" x14ac:dyDescent="0.2">
      <c r="A1421" s="35" t="s">
        <v>75</v>
      </c>
      <c r="B1421" s="35" t="s">
        <v>75</v>
      </c>
      <c r="C1421" s="35" t="s">
        <v>65</v>
      </c>
      <c r="D1421" s="35" t="s">
        <v>229</v>
      </c>
      <c r="E1421" s="35">
        <v>21</v>
      </c>
      <c r="F1421" s="35" t="s">
        <v>349</v>
      </c>
      <c r="G1421" s="35">
        <v>0.64</v>
      </c>
    </row>
    <row r="1422" spans="1:7" x14ac:dyDescent="0.2">
      <c r="A1422" s="35" t="s">
        <v>75</v>
      </c>
      <c r="B1422" s="35" t="s">
        <v>75</v>
      </c>
      <c r="C1422" s="35" t="s">
        <v>65</v>
      </c>
      <c r="D1422" s="35" t="s">
        <v>234</v>
      </c>
      <c r="E1422" s="35">
        <v>21</v>
      </c>
      <c r="F1422" s="35" t="s">
        <v>349</v>
      </c>
      <c r="G1422" s="35">
        <v>0.64</v>
      </c>
    </row>
    <row r="1423" spans="1:7" x14ac:dyDescent="0.2">
      <c r="A1423" s="35" t="s">
        <v>75</v>
      </c>
      <c r="B1423" s="35" t="s">
        <v>75</v>
      </c>
      <c r="C1423" s="35" t="s">
        <v>223</v>
      </c>
      <c r="D1423" s="35" t="s">
        <v>230</v>
      </c>
      <c r="E1423" s="35">
        <v>21</v>
      </c>
      <c r="F1423" s="35" t="s">
        <v>349</v>
      </c>
      <c r="G1423" s="35">
        <v>0.63</v>
      </c>
    </row>
    <row r="1424" spans="1:7" x14ac:dyDescent="0.2">
      <c r="A1424" s="35" t="s">
        <v>75</v>
      </c>
      <c r="B1424" s="35" t="s">
        <v>75</v>
      </c>
      <c r="C1424" s="35" t="s">
        <v>223</v>
      </c>
      <c r="D1424" s="35" t="s">
        <v>231</v>
      </c>
      <c r="E1424" s="35">
        <v>21</v>
      </c>
      <c r="F1424" s="35" t="s">
        <v>349</v>
      </c>
      <c r="G1424" s="35">
        <v>0.65</v>
      </c>
    </row>
    <row r="1425" spans="1:7" x14ac:dyDescent="0.2">
      <c r="A1425" s="35" t="s">
        <v>75</v>
      </c>
      <c r="B1425" s="35" t="s">
        <v>75</v>
      </c>
      <c r="C1425" s="35" t="s">
        <v>223</v>
      </c>
      <c r="D1425" s="35" t="s">
        <v>235</v>
      </c>
      <c r="E1425" s="35">
        <v>21</v>
      </c>
      <c r="F1425" s="35" t="s">
        <v>349</v>
      </c>
      <c r="G1425" s="35">
        <v>0.63</v>
      </c>
    </row>
    <row r="1426" spans="1:7" x14ac:dyDescent="0.2">
      <c r="A1426" s="35" t="s">
        <v>75</v>
      </c>
      <c r="B1426" s="35" t="s">
        <v>75</v>
      </c>
      <c r="C1426" s="35" t="s">
        <v>223</v>
      </c>
      <c r="D1426" s="35" t="s">
        <v>232</v>
      </c>
      <c r="E1426" s="35">
        <v>21</v>
      </c>
      <c r="F1426" s="35" t="s">
        <v>349</v>
      </c>
      <c r="G1426" s="35">
        <v>0.65</v>
      </c>
    </row>
    <row r="1427" spans="1:7" x14ac:dyDescent="0.2">
      <c r="A1427" s="35" t="s">
        <v>75</v>
      </c>
      <c r="B1427" s="35" t="s">
        <v>75</v>
      </c>
      <c r="C1427" s="35" t="s">
        <v>223</v>
      </c>
      <c r="D1427" s="35" t="s">
        <v>236</v>
      </c>
      <c r="E1427" s="35">
        <v>21</v>
      </c>
      <c r="F1427" s="35" t="s">
        <v>349</v>
      </c>
      <c r="G1427" s="35">
        <v>0.63</v>
      </c>
    </row>
    <row r="1428" spans="1:7" x14ac:dyDescent="0.2">
      <c r="A1428" s="35" t="s">
        <v>75</v>
      </c>
      <c r="B1428" s="35" t="s">
        <v>221</v>
      </c>
      <c r="C1428" s="35" t="s">
        <v>65</v>
      </c>
      <c r="D1428" s="35" t="s">
        <v>222</v>
      </c>
      <c r="E1428" s="35">
        <v>21</v>
      </c>
      <c r="F1428" s="35" t="s">
        <v>349</v>
      </c>
      <c r="G1428" s="35">
        <v>0.61</v>
      </c>
    </row>
    <row r="1429" spans="1:7" x14ac:dyDescent="0.2">
      <c r="A1429" s="35" t="s">
        <v>75</v>
      </c>
      <c r="B1429" s="35" t="s">
        <v>221</v>
      </c>
      <c r="C1429" s="35" t="s">
        <v>223</v>
      </c>
      <c r="D1429" s="35" t="s">
        <v>224</v>
      </c>
      <c r="E1429" s="35">
        <v>21</v>
      </c>
      <c r="F1429" s="35" t="s">
        <v>349</v>
      </c>
      <c r="G1429" s="35">
        <v>0</v>
      </c>
    </row>
    <row r="1430" spans="1:7" x14ac:dyDescent="0.2">
      <c r="A1430" s="35" t="s">
        <v>52</v>
      </c>
      <c r="B1430" s="35" t="s">
        <v>52</v>
      </c>
      <c r="C1430" s="35" t="s">
        <v>65</v>
      </c>
      <c r="D1430" s="35" t="s">
        <v>237</v>
      </c>
      <c r="E1430" s="35">
        <v>21</v>
      </c>
      <c r="F1430" s="35" t="s">
        <v>349</v>
      </c>
      <c r="G1430" s="35">
        <v>0.66</v>
      </c>
    </row>
    <row r="1431" spans="1:7" x14ac:dyDescent="0.2">
      <c r="A1431" s="35" t="s">
        <v>52</v>
      </c>
      <c r="B1431" s="35" t="s">
        <v>52</v>
      </c>
      <c r="C1431" s="35" t="s">
        <v>65</v>
      </c>
      <c r="D1431" s="35" t="s">
        <v>238</v>
      </c>
      <c r="E1431" s="35">
        <v>21</v>
      </c>
      <c r="F1431" s="35" t="s">
        <v>349</v>
      </c>
      <c r="G1431" s="35">
        <v>0.65</v>
      </c>
    </row>
    <row r="1432" spans="1:7" x14ac:dyDescent="0.2">
      <c r="A1432" s="35" t="s">
        <v>52</v>
      </c>
      <c r="B1432" s="35" t="s">
        <v>52</v>
      </c>
      <c r="C1432" s="35" t="s">
        <v>65</v>
      </c>
      <c r="D1432" s="35" t="s">
        <v>239</v>
      </c>
      <c r="E1432" s="35">
        <v>21</v>
      </c>
      <c r="F1432" s="35" t="s">
        <v>349</v>
      </c>
      <c r="G1432" s="35">
        <v>0.68</v>
      </c>
    </row>
    <row r="1433" spans="1:7" x14ac:dyDescent="0.2">
      <c r="A1433" s="35" t="s">
        <v>52</v>
      </c>
      <c r="B1433" s="35" t="s">
        <v>52</v>
      </c>
      <c r="C1433" s="35" t="s">
        <v>65</v>
      </c>
      <c r="D1433" s="35" t="s">
        <v>240</v>
      </c>
      <c r="E1433" s="35">
        <v>21</v>
      </c>
      <c r="F1433" s="35" t="s">
        <v>349</v>
      </c>
      <c r="G1433" s="35">
        <v>0.67</v>
      </c>
    </row>
    <row r="1434" spans="1:7" x14ac:dyDescent="0.2">
      <c r="A1434" s="35" t="s">
        <v>52</v>
      </c>
      <c r="B1434" s="35" t="s">
        <v>52</v>
      </c>
      <c r="C1434" s="35" t="s">
        <v>65</v>
      </c>
      <c r="D1434" s="35" t="s">
        <v>245</v>
      </c>
      <c r="E1434" s="35">
        <v>21</v>
      </c>
      <c r="F1434" s="35" t="s">
        <v>349</v>
      </c>
      <c r="G1434" s="35">
        <v>0.68</v>
      </c>
    </row>
    <row r="1435" spans="1:7" x14ac:dyDescent="0.2">
      <c r="A1435" s="35" t="s">
        <v>52</v>
      </c>
      <c r="B1435" s="35" t="s">
        <v>52</v>
      </c>
      <c r="C1435" s="35" t="s">
        <v>223</v>
      </c>
      <c r="D1435" s="35" t="s">
        <v>241</v>
      </c>
      <c r="E1435" s="35">
        <v>21</v>
      </c>
      <c r="F1435" s="35" t="s">
        <v>349</v>
      </c>
      <c r="G1435" s="35">
        <v>0.67</v>
      </c>
    </row>
    <row r="1436" spans="1:7" x14ac:dyDescent="0.2">
      <c r="A1436" s="35" t="s">
        <v>52</v>
      </c>
      <c r="B1436" s="35" t="s">
        <v>52</v>
      </c>
      <c r="C1436" s="35" t="s">
        <v>223</v>
      </c>
      <c r="D1436" s="35" t="s">
        <v>246</v>
      </c>
      <c r="E1436" s="35">
        <v>21</v>
      </c>
      <c r="F1436" s="35" t="s">
        <v>349</v>
      </c>
      <c r="G1436" s="35">
        <v>0.64</v>
      </c>
    </row>
    <row r="1437" spans="1:7" x14ac:dyDescent="0.2">
      <c r="A1437" s="35" t="s">
        <v>52</v>
      </c>
      <c r="B1437" s="35" t="s">
        <v>52</v>
      </c>
      <c r="C1437" s="35" t="s">
        <v>223</v>
      </c>
      <c r="D1437" s="35" t="s">
        <v>242</v>
      </c>
      <c r="E1437" s="35">
        <v>21</v>
      </c>
      <c r="F1437" s="35" t="s">
        <v>349</v>
      </c>
      <c r="G1437" s="35">
        <v>0.65</v>
      </c>
    </row>
    <row r="1438" spans="1:7" x14ac:dyDescent="0.2">
      <c r="A1438" s="35" t="s">
        <v>52</v>
      </c>
      <c r="B1438" s="35" t="s">
        <v>52</v>
      </c>
      <c r="C1438" s="35" t="s">
        <v>223</v>
      </c>
      <c r="D1438" s="35" t="s">
        <v>243</v>
      </c>
      <c r="E1438" s="35">
        <v>21</v>
      </c>
      <c r="F1438" s="35" t="s">
        <v>349</v>
      </c>
      <c r="G1438" s="35">
        <v>0.68</v>
      </c>
    </row>
    <row r="1439" spans="1:7" x14ac:dyDescent="0.2">
      <c r="A1439" s="35" t="s">
        <v>52</v>
      </c>
      <c r="B1439" s="35" t="s">
        <v>52</v>
      </c>
      <c r="C1439" s="35" t="s">
        <v>223</v>
      </c>
      <c r="D1439" s="35" t="s">
        <v>244</v>
      </c>
      <c r="E1439" s="35">
        <v>21</v>
      </c>
      <c r="F1439" s="35" t="s">
        <v>349</v>
      </c>
      <c r="G1439" s="35">
        <v>0.64</v>
      </c>
    </row>
    <row r="1440" spans="1:7" x14ac:dyDescent="0.2">
      <c r="A1440" s="35" t="s">
        <v>52</v>
      </c>
      <c r="B1440" s="35" t="s">
        <v>221</v>
      </c>
      <c r="C1440" s="35" t="s">
        <v>65</v>
      </c>
      <c r="D1440" s="35" t="s">
        <v>225</v>
      </c>
      <c r="E1440" s="35">
        <v>21</v>
      </c>
      <c r="F1440" s="35" t="s">
        <v>349</v>
      </c>
      <c r="G1440" s="35">
        <v>0.64</v>
      </c>
    </row>
    <row r="1441" spans="1:7" x14ac:dyDescent="0.2">
      <c r="A1441" s="35" t="s">
        <v>52</v>
      </c>
      <c r="B1441" s="35" t="s">
        <v>221</v>
      </c>
      <c r="C1441" s="35" t="s">
        <v>223</v>
      </c>
      <c r="D1441" s="35" t="s">
        <v>226</v>
      </c>
      <c r="E1441" s="35">
        <v>21</v>
      </c>
      <c r="F1441" s="35" t="s">
        <v>349</v>
      </c>
      <c r="G1441" s="35">
        <v>0.67</v>
      </c>
    </row>
    <row r="1442" spans="1:7" x14ac:dyDescent="0.2">
      <c r="A1442" s="35" t="s">
        <v>75</v>
      </c>
      <c r="B1442" s="35" t="s">
        <v>75</v>
      </c>
      <c r="C1442" s="35" t="s">
        <v>65</v>
      </c>
      <c r="D1442" s="35" t="s">
        <v>233</v>
      </c>
      <c r="E1442" s="35">
        <v>24</v>
      </c>
      <c r="F1442" s="35" t="s">
        <v>349</v>
      </c>
      <c r="G1442" s="35">
        <v>0.63</v>
      </c>
    </row>
    <row r="1443" spans="1:7" x14ac:dyDescent="0.2">
      <c r="A1443" s="35" t="s">
        <v>75</v>
      </c>
      <c r="B1443" s="35" t="s">
        <v>75</v>
      </c>
      <c r="C1443" s="35" t="s">
        <v>65</v>
      </c>
      <c r="D1443" s="35" t="s">
        <v>227</v>
      </c>
      <c r="E1443" s="35">
        <v>24</v>
      </c>
      <c r="F1443" s="35" t="s">
        <v>349</v>
      </c>
      <c r="G1443" s="35">
        <v>0.64</v>
      </c>
    </row>
    <row r="1444" spans="1:7" x14ac:dyDescent="0.2">
      <c r="A1444" s="35" t="s">
        <v>75</v>
      </c>
      <c r="B1444" s="35" t="s">
        <v>75</v>
      </c>
      <c r="C1444" s="35" t="s">
        <v>65</v>
      </c>
      <c r="D1444" s="35" t="s">
        <v>228</v>
      </c>
      <c r="E1444" s="35">
        <v>24</v>
      </c>
      <c r="F1444" s="35" t="s">
        <v>349</v>
      </c>
      <c r="G1444" s="35">
        <v>0.63</v>
      </c>
    </row>
    <row r="1445" spans="1:7" x14ac:dyDescent="0.2">
      <c r="A1445" s="35" t="s">
        <v>75</v>
      </c>
      <c r="B1445" s="35" t="s">
        <v>75</v>
      </c>
      <c r="C1445" s="35" t="s">
        <v>65</v>
      </c>
      <c r="D1445" s="35" t="s">
        <v>229</v>
      </c>
      <c r="E1445" s="35">
        <v>24</v>
      </c>
      <c r="F1445" s="35" t="s">
        <v>349</v>
      </c>
      <c r="G1445" s="35">
        <v>0.63</v>
      </c>
    </row>
    <row r="1446" spans="1:7" x14ac:dyDescent="0.2">
      <c r="A1446" s="35" t="s">
        <v>75</v>
      </c>
      <c r="B1446" s="35" t="s">
        <v>75</v>
      </c>
      <c r="C1446" s="35" t="s">
        <v>65</v>
      </c>
      <c r="D1446" s="35" t="s">
        <v>234</v>
      </c>
      <c r="E1446" s="35">
        <v>24</v>
      </c>
      <c r="F1446" s="35" t="s">
        <v>349</v>
      </c>
      <c r="G1446" s="35">
        <v>0.64</v>
      </c>
    </row>
    <row r="1447" spans="1:7" x14ac:dyDescent="0.2">
      <c r="A1447" s="35" t="s">
        <v>75</v>
      </c>
      <c r="B1447" s="35" t="s">
        <v>75</v>
      </c>
      <c r="C1447" s="35" t="s">
        <v>223</v>
      </c>
      <c r="D1447" s="35" t="s">
        <v>230</v>
      </c>
      <c r="E1447" s="35">
        <v>24</v>
      </c>
      <c r="F1447" s="35" t="s">
        <v>349</v>
      </c>
      <c r="G1447" s="35">
        <v>0.61</v>
      </c>
    </row>
    <row r="1448" spans="1:7" x14ac:dyDescent="0.2">
      <c r="A1448" s="35" t="s">
        <v>75</v>
      </c>
      <c r="B1448" s="35" t="s">
        <v>75</v>
      </c>
      <c r="C1448" s="35" t="s">
        <v>223</v>
      </c>
      <c r="D1448" s="35" t="s">
        <v>231</v>
      </c>
      <c r="E1448" s="35">
        <v>24</v>
      </c>
      <c r="F1448" s="35" t="s">
        <v>349</v>
      </c>
      <c r="G1448" s="35">
        <v>0.62</v>
      </c>
    </row>
    <row r="1449" spans="1:7" x14ac:dyDescent="0.2">
      <c r="A1449" s="35" t="s">
        <v>75</v>
      </c>
      <c r="B1449" s="35" t="s">
        <v>75</v>
      </c>
      <c r="C1449" s="35" t="s">
        <v>223</v>
      </c>
      <c r="D1449" s="35" t="s">
        <v>235</v>
      </c>
      <c r="E1449" s="35">
        <v>24</v>
      </c>
      <c r="F1449" s="35" t="s">
        <v>349</v>
      </c>
      <c r="G1449" s="35">
        <v>0.63</v>
      </c>
    </row>
    <row r="1450" spans="1:7" x14ac:dyDescent="0.2">
      <c r="A1450" s="35" t="s">
        <v>75</v>
      </c>
      <c r="B1450" s="35" t="s">
        <v>75</v>
      </c>
      <c r="C1450" s="35" t="s">
        <v>223</v>
      </c>
      <c r="D1450" s="35" t="s">
        <v>232</v>
      </c>
      <c r="E1450" s="35">
        <v>24</v>
      </c>
      <c r="F1450" s="35" t="s">
        <v>349</v>
      </c>
      <c r="G1450" s="35">
        <v>0.63</v>
      </c>
    </row>
    <row r="1451" spans="1:7" x14ac:dyDescent="0.2">
      <c r="A1451" s="35" t="s">
        <v>75</v>
      </c>
      <c r="B1451" s="35" t="s">
        <v>75</v>
      </c>
      <c r="C1451" s="35" t="s">
        <v>223</v>
      </c>
      <c r="D1451" s="35" t="s">
        <v>236</v>
      </c>
      <c r="E1451" s="35">
        <v>24</v>
      </c>
      <c r="F1451" s="35" t="s">
        <v>349</v>
      </c>
      <c r="G1451" s="35">
        <v>0.64</v>
      </c>
    </row>
    <row r="1452" spans="1:7" x14ac:dyDescent="0.2">
      <c r="A1452" s="35" t="s">
        <v>75</v>
      </c>
      <c r="B1452" s="35" t="s">
        <v>221</v>
      </c>
      <c r="C1452" s="35" t="s">
        <v>65</v>
      </c>
      <c r="D1452" s="35" t="s">
        <v>222</v>
      </c>
      <c r="E1452" s="35">
        <v>24</v>
      </c>
      <c r="F1452" s="35" t="s">
        <v>349</v>
      </c>
      <c r="G1452" s="35">
        <v>0.64</v>
      </c>
    </row>
    <row r="1453" spans="1:7" x14ac:dyDescent="0.2">
      <c r="A1453" s="35" t="s">
        <v>75</v>
      </c>
      <c r="B1453" s="35" t="s">
        <v>221</v>
      </c>
      <c r="C1453" s="35" t="s">
        <v>223</v>
      </c>
      <c r="D1453" s="35" t="s">
        <v>224</v>
      </c>
      <c r="E1453" s="35">
        <v>24</v>
      </c>
      <c r="F1453" s="35" t="s">
        <v>349</v>
      </c>
      <c r="G1453" s="35">
        <v>0</v>
      </c>
    </row>
    <row r="1454" spans="1:7" x14ac:dyDescent="0.2">
      <c r="A1454" s="35" t="s">
        <v>52</v>
      </c>
      <c r="B1454" s="35" t="s">
        <v>52</v>
      </c>
      <c r="C1454" s="35" t="s">
        <v>65</v>
      </c>
      <c r="D1454" s="35" t="s">
        <v>237</v>
      </c>
      <c r="E1454" s="35">
        <v>24</v>
      </c>
      <c r="F1454" s="35" t="s">
        <v>349</v>
      </c>
      <c r="G1454" s="35">
        <v>0.64</v>
      </c>
    </row>
    <row r="1455" spans="1:7" x14ac:dyDescent="0.2">
      <c r="A1455" s="35" t="s">
        <v>52</v>
      </c>
      <c r="B1455" s="35" t="s">
        <v>52</v>
      </c>
      <c r="C1455" s="35" t="s">
        <v>65</v>
      </c>
      <c r="D1455" s="35" t="s">
        <v>238</v>
      </c>
      <c r="E1455" s="35">
        <v>24</v>
      </c>
      <c r="F1455" s="35" t="s">
        <v>349</v>
      </c>
      <c r="G1455" s="35">
        <v>0.66</v>
      </c>
    </row>
    <row r="1456" spans="1:7" x14ac:dyDescent="0.2">
      <c r="A1456" s="35" t="s">
        <v>52</v>
      </c>
      <c r="B1456" s="35" t="s">
        <v>52</v>
      </c>
      <c r="C1456" s="35" t="s">
        <v>65</v>
      </c>
      <c r="D1456" s="35" t="s">
        <v>239</v>
      </c>
      <c r="E1456" s="35">
        <v>24</v>
      </c>
      <c r="F1456" s="35" t="s">
        <v>349</v>
      </c>
      <c r="G1456" s="35">
        <v>0.66</v>
      </c>
    </row>
    <row r="1457" spans="1:7" x14ac:dyDescent="0.2">
      <c r="A1457" s="35" t="s">
        <v>52</v>
      </c>
      <c r="B1457" s="35" t="s">
        <v>52</v>
      </c>
      <c r="C1457" s="35" t="s">
        <v>65</v>
      </c>
      <c r="D1457" s="35" t="s">
        <v>240</v>
      </c>
      <c r="E1457" s="35">
        <v>24</v>
      </c>
      <c r="F1457" s="35" t="s">
        <v>349</v>
      </c>
      <c r="G1457" s="35">
        <v>0.67</v>
      </c>
    </row>
    <row r="1458" spans="1:7" x14ac:dyDescent="0.2">
      <c r="A1458" s="35" t="s">
        <v>52</v>
      </c>
      <c r="B1458" s="35" t="s">
        <v>52</v>
      </c>
      <c r="C1458" s="35" t="s">
        <v>65</v>
      </c>
      <c r="D1458" s="35" t="s">
        <v>245</v>
      </c>
      <c r="E1458" s="35">
        <v>24</v>
      </c>
      <c r="F1458" s="35" t="s">
        <v>349</v>
      </c>
      <c r="G1458" s="35">
        <v>0.66</v>
      </c>
    </row>
    <row r="1459" spans="1:7" x14ac:dyDescent="0.2">
      <c r="A1459" s="35" t="s">
        <v>52</v>
      </c>
      <c r="B1459" s="35" t="s">
        <v>52</v>
      </c>
      <c r="C1459" s="35" t="s">
        <v>223</v>
      </c>
      <c r="D1459" s="35" t="s">
        <v>241</v>
      </c>
      <c r="E1459" s="35">
        <v>24</v>
      </c>
      <c r="F1459" s="35" t="s">
        <v>349</v>
      </c>
      <c r="G1459" s="35">
        <v>0.64</v>
      </c>
    </row>
    <row r="1460" spans="1:7" x14ac:dyDescent="0.2">
      <c r="A1460" s="35" t="s">
        <v>52</v>
      </c>
      <c r="B1460" s="35" t="s">
        <v>52</v>
      </c>
      <c r="C1460" s="35" t="s">
        <v>223</v>
      </c>
      <c r="D1460" s="35" t="s">
        <v>246</v>
      </c>
      <c r="E1460" s="35">
        <v>24</v>
      </c>
      <c r="F1460" s="35" t="s">
        <v>349</v>
      </c>
      <c r="G1460" s="35">
        <v>0.64</v>
      </c>
    </row>
    <row r="1461" spans="1:7" x14ac:dyDescent="0.2">
      <c r="A1461" s="35" t="s">
        <v>52</v>
      </c>
      <c r="B1461" s="35" t="s">
        <v>52</v>
      </c>
      <c r="C1461" s="35" t="s">
        <v>223</v>
      </c>
      <c r="D1461" s="35" t="s">
        <v>242</v>
      </c>
      <c r="E1461" s="35">
        <v>24</v>
      </c>
      <c r="F1461" s="35" t="s">
        <v>349</v>
      </c>
      <c r="G1461" s="35">
        <v>0.66</v>
      </c>
    </row>
    <row r="1462" spans="1:7" x14ac:dyDescent="0.2">
      <c r="A1462" s="35" t="s">
        <v>52</v>
      </c>
      <c r="B1462" s="35" t="s">
        <v>52</v>
      </c>
      <c r="C1462" s="35" t="s">
        <v>223</v>
      </c>
      <c r="D1462" s="35" t="s">
        <v>243</v>
      </c>
      <c r="E1462" s="35">
        <v>24</v>
      </c>
      <c r="F1462" s="35" t="s">
        <v>349</v>
      </c>
      <c r="G1462" s="35">
        <v>0.66</v>
      </c>
    </row>
    <row r="1463" spans="1:7" x14ac:dyDescent="0.2">
      <c r="A1463" s="35" t="s">
        <v>52</v>
      </c>
      <c r="B1463" s="35" t="s">
        <v>52</v>
      </c>
      <c r="C1463" s="35" t="s">
        <v>223</v>
      </c>
      <c r="D1463" s="35" t="s">
        <v>244</v>
      </c>
      <c r="E1463" s="35">
        <v>24</v>
      </c>
      <c r="F1463" s="35" t="s">
        <v>349</v>
      </c>
      <c r="G1463" s="35">
        <v>0.67</v>
      </c>
    </row>
    <row r="1464" spans="1:7" x14ac:dyDescent="0.2">
      <c r="A1464" s="35" t="s">
        <v>52</v>
      </c>
      <c r="B1464" s="35" t="s">
        <v>221</v>
      </c>
      <c r="C1464" s="35" t="s">
        <v>65</v>
      </c>
      <c r="D1464" s="35" t="s">
        <v>225</v>
      </c>
      <c r="E1464" s="35">
        <v>24</v>
      </c>
      <c r="F1464" s="35" t="s">
        <v>349</v>
      </c>
      <c r="G1464" s="35">
        <v>0.66</v>
      </c>
    </row>
    <row r="1465" spans="1:7" x14ac:dyDescent="0.2">
      <c r="A1465" s="35" t="s">
        <v>52</v>
      </c>
      <c r="B1465" s="35" t="s">
        <v>221</v>
      </c>
      <c r="C1465" s="35" t="s">
        <v>223</v>
      </c>
      <c r="D1465" s="35" t="s">
        <v>226</v>
      </c>
      <c r="E1465" s="35">
        <v>24</v>
      </c>
      <c r="F1465" s="35" t="s">
        <v>349</v>
      </c>
      <c r="G1465" s="35">
        <v>0.67</v>
      </c>
    </row>
    <row r="1466" spans="1:7" x14ac:dyDescent="0.2">
      <c r="A1466" s="35" t="s">
        <v>75</v>
      </c>
      <c r="B1466" s="35" t="s">
        <v>75</v>
      </c>
      <c r="C1466" s="35" t="s">
        <v>65</v>
      </c>
      <c r="D1466" s="35" t="s">
        <v>233</v>
      </c>
      <c r="E1466" s="35">
        <v>27</v>
      </c>
      <c r="F1466" s="35" t="s">
        <v>349</v>
      </c>
      <c r="G1466" s="35">
        <v>0.65</v>
      </c>
    </row>
    <row r="1467" spans="1:7" x14ac:dyDescent="0.2">
      <c r="A1467" s="35" t="s">
        <v>75</v>
      </c>
      <c r="B1467" s="35" t="s">
        <v>75</v>
      </c>
      <c r="C1467" s="35" t="s">
        <v>65</v>
      </c>
      <c r="D1467" s="35" t="s">
        <v>227</v>
      </c>
      <c r="E1467" s="35">
        <v>27</v>
      </c>
      <c r="F1467" s="35" t="s">
        <v>349</v>
      </c>
      <c r="G1467" s="35">
        <v>0.65</v>
      </c>
    </row>
    <row r="1468" spans="1:7" x14ac:dyDescent="0.2">
      <c r="A1468" s="35" t="s">
        <v>75</v>
      </c>
      <c r="B1468" s="35" t="s">
        <v>75</v>
      </c>
      <c r="C1468" s="35" t="s">
        <v>65</v>
      </c>
      <c r="D1468" s="35" t="s">
        <v>228</v>
      </c>
      <c r="E1468" s="35">
        <v>27</v>
      </c>
      <c r="F1468" s="35" t="s">
        <v>349</v>
      </c>
      <c r="G1468" s="35">
        <v>0.66</v>
      </c>
    </row>
    <row r="1469" spans="1:7" x14ac:dyDescent="0.2">
      <c r="A1469" s="35" t="s">
        <v>75</v>
      </c>
      <c r="B1469" s="35" t="s">
        <v>75</v>
      </c>
      <c r="C1469" s="35" t="s">
        <v>65</v>
      </c>
      <c r="D1469" s="35" t="s">
        <v>229</v>
      </c>
      <c r="E1469" s="35">
        <v>27</v>
      </c>
      <c r="F1469" s="35" t="s">
        <v>349</v>
      </c>
      <c r="G1469" s="35">
        <v>0.65</v>
      </c>
    </row>
    <row r="1470" spans="1:7" x14ac:dyDescent="0.2">
      <c r="A1470" s="35" t="s">
        <v>75</v>
      </c>
      <c r="B1470" s="35" t="s">
        <v>75</v>
      </c>
      <c r="C1470" s="35" t="s">
        <v>65</v>
      </c>
      <c r="D1470" s="35" t="s">
        <v>234</v>
      </c>
      <c r="E1470" s="35">
        <v>27</v>
      </c>
      <c r="F1470" s="35" t="s">
        <v>349</v>
      </c>
      <c r="G1470" s="35">
        <v>0.66</v>
      </c>
    </row>
    <row r="1471" spans="1:7" x14ac:dyDescent="0.2">
      <c r="A1471" s="35" t="s">
        <v>75</v>
      </c>
      <c r="B1471" s="35" t="s">
        <v>75</v>
      </c>
      <c r="C1471" s="35" t="s">
        <v>223</v>
      </c>
      <c r="D1471" s="35" t="s">
        <v>230</v>
      </c>
      <c r="E1471" s="35">
        <v>27</v>
      </c>
      <c r="F1471" s="35" t="s">
        <v>349</v>
      </c>
      <c r="G1471" s="35">
        <v>0.63</v>
      </c>
    </row>
    <row r="1472" spans="1:7" x14ac:dyDescent="0.2">
      <c r="A1472" s="35" t="s">
        <v>75</v>
      </c>
      <c r="B1472" s="35" t="s">
        <v>75</v>
      </c>
      <c r="C1472" s="35" t="s">
        <v>223</v>
      </c>
      <c r="D1472" s="35" t="s">
        <v>231</v>
      </c>
      <c r="E1472" s="35">
        <v>27</v>
      </c>
      <c r="F1472" s="35" t="s">
        <v>349</v>
      </c>
      <c r="G1472" s="35">
        <v>0.64</v>
      </c>
    </row>
    <row r="1473" spans="1:7" x14ac:dyDescent="0.2">
      <c r="A1473" s="35" t="s">
        <v>75</v>
      </c>
      <c r="B1473" s="35" t="s">
        <v>75</v>
      </c>
      <c r="C1473" s="35" t="s">
        <v>223</v>
      </c>
      <c r="D1473" s="35" t="s">
        <v>235</v>
      </c>
      <c r="E1473" s="35">
        <v>27</v>
      </c>
      <c r="F1473" s="35" t="s">
        <v>349</v>
      </c>
      <c r="G1473" s="35">
        <v>0.64</v>
      </c>
    </row>
    <row r="1474" spans="1:7" x14ac:dyDescent="0.2">
      <c r="A1474" s="35" t="s">
        <v>75</v>
      </c>
      <c r="B1474" s="35" t="s">
        <v>75</v>
      </c>
      <c r="C1474" s="35" t="s">
        <v>223</v>
      </c>
      <c r="D1474" s="35" t="s">
        <v>232</v>
      </c>
      <c r="E1474" s="35">
        <v>27</v>
      </c>
      <c r="F1474" s="35" t="s">
        <v>349</v>
      </c>
      <c r="G1474" s="35">
        <v>0.67</v>
      </c>
    </row>
    <row r="1475" spans="1:7" x14ac:dyDescent="0.2">
      <c r="A1475" s="35" t="s">
        <v>75</v>
      </c>
      <c r="B1475" s="35" t="s">
        <v>75</v>
      </c>
      <c r="C1475" s="35" t="s">
        <v>223</v>
      </c>
      <c r="D1475" s="35" t="s">
        <v>236</v>
      </c>
      <c r="E1475" s="35">
        <v>27</v>
      </c>
      <c r="F1475" s="35" t="s">
        <v>349</v>
      </c>
      <c r="G1475" s="35">
        <v>0.64</v>
      </c>
    </row>
    <row r="1476" spans="1:7" x14ac:dyDescent="0.2">
      <c r="A1476" s="35" t="s">
        <v>75</v>
      </c>
      <c r="B1476" s="35" t="s">
        <v>221</v>
      </c>
      <c r="C1476" s="35" t="s">
        <v>65</v>
      </c>
      <c r="D1476" s="35" t="s">
        <v>222</v>
      </c>
      <c r="E1476" s="35">
        <v>27</v>
      </c>
      <c r="F1476" s="35" t="s">
        <v>349</v>
      </c>
      <c r="G1476" s="35">
        <v>0.66</v>
      </c>
    </row>
    <row r="1477" spans="1:7" x14ac:dyDescent="0.2">
      <c r="A1477" s="35" t="s">
        <v>75</v>
      </c>
      <c r="B1477" s="35" t="s">
        <v>221</v>
      </c>
      <c r="C1477" s="35" t="s">
        <v>223</v>
      </c>
      <c r="D1477" s="35" t="s">
        <v>224</v>
      </c>
      <c r="E1477" s="35">
        <v>27</v>
      </c>
      <c r="F1477" s="35" t="s">
        <v>349</v>
      </c>
      <c r="G1477" s="35">
        <v>0.64</v>
      </c>
    </row>
    <row r="1478" spans="1:7" x14ac:dyDescent="0.2">
      <c r="A1478" s="35" t="s">
        <v>52</v>
      </c>
      <c r="B1478" s="35" t="s">
        <v>52</v>
      </c>
      <c r="C1478" s="35" t="s">
        <v>65</v>
      </c>
      <c r="D1478" s="35" t="s">
        <v>237</v>
      </c>
      <c r="E1478" s="35">
        <v>27</v>
      </c>
      <c r="F1478" s="35" t="s">
        <v>349</v>
      </c>
      <c r="G1478" s="35">
        <v>0.67</v>
      </c>
    </row>
    <row r="1479" spans="1:7" x14ac:dyDescent="0.2">
      <c r="A1479" s="35" t="s">
        <v>52</v>
      </c>
      <c r="B1479" s="35" t="s">
        <v>52</v>
      </c>
      <c r="C1479" s="35" t="s">
        <v>65</v>
      </c>
      <c r="D1479" s="35" t="s">
        <v>238</v>
      </c>
      <c r="E1479" s="35">
        <v>27</v>
      </c>
      <c r="F1479" s="35" t="s">
        <v>349</v>
      </c>
      <c r="G1479" s="35">
        <v>0.67</v>
      </c>
    </row>
    <row r="1480" spans="1:7" x14ac:dyDescent="0.2">
      <c r="A1480" s="35" t="s">
        <v>52</v>
      </c>
      <c r="B1480" s="35" t="s">
        <v>52</v>
      </c>
      <c r="C1480" s="35" t="s">
        <v>65</v>
      </c>
      <c r="D1480" s="35" t="s">
        <v>239</v>
      </c>
      <c r="E1480" s="35">
        <v>27</v>
      </c>
      <c r="F1480" s="35" t="s">
        <v>349</v>
      </c>
      <c r="G1480" s="35">
        <v>0.68</v>
      </c>
    </row>
    <row r="1481" spans="1:7" x14ac:dyDescent="0.2">
      <c r="A1481" s="35" t="s">
        <v>52</v>
      </c>
      <c r="B1481" s="35" t="s">
        <v>52</v>
      </c>
      <c r="C1481" s="35" t="s">
        <v>65</v>
      </c>
      <c r="D1481" s="35" t="s">
        <v>240</v>
      </c>
      <c r="E1481" s="35">
        <v>27</v>
      </c>
      <c r="F1481" s="35" t="s">
        <v>349</v>
      </c>
      <c r="G1481" s="35">
        <v>0.68</v>
      </c>
    </row>
    <row r="1482" spans="1:7" x14ac:dyDescent="0.2">
      <c r="A1482" s="35" t="s">
        <v>52</v>
      </c>
      <c r="B1482" s="35" t="s">
        <v>52</v>
      </c>
      <c r="C1482" s="35" t="s">
        <v>65</v>
      </c>
      <c r="D1482" s="35" t="s">
        <v>245</v>
      </c>
      <c r="E1482" s="35">
        <v>27</v>
      </c>
      <c r="F1482" s="35" t="s">
        <v>349</v>
      </c>
      <c r="G1482" s="35">
        <v>0.68</v>
      </c>
    </row>
    <row r="1483" spans="1:7" x14ac:dyDescent="0.2">
      <c r="A1483" s="35" t="s">
        <v>52</v>
      </c>
      <c r="B1483" s="35" t="s">
        <v>52</v>
      </c>
      <c r="C1483" s="35" t="s">
        <v>223</v>
      </c>
      <c r="D1483" s="35" t="s">
        <v>241</v>
      </c>
      <c r="E1483" s="35">
        <v>27</v>
      </c>
      <c r="F1483" s="35" t="s">
        <v>349</v>
      </c>
      <c r="G1483" s="35">
        <v>0.67</v>
      </c>
    </row>
    <row r="1484" spans="1:7" x14ac:dyDescent="0.2">
      <c r="A1484" s="35" t="s">
        <v>52</v>
      </c>
      <c r="B1484" s="35" t="s">
        <v>52</v>
      </c>
      <c r="C1484" s="35" t="s">
        <v>223</v>
      </c>
      <c r="D1484" s="35" t="s">
        <v>246</v>
      </c>
      <c r="E1484" s="35">
        <v>27</v>
      </c>
      <c r="F1484" s="35" t="s">
        <v>349</v>
      </c>
      <c r="G1484" s="35">
        <v>0.65</v>
      </c>
    </row>
    <row r="1485" spans="1:7" x14ac:dyDescent="0.2">
      <c r="A1485" s="35" t="s">
        <v>52</v>
      </c>
      <c r="B1485" s="35" t="s">
        <v>52</v>
      </c>
      <c r="C1485" s="35" t="s">
        <v>223</v>
      </c>
      <c r="D1485" s="35" t="s">
        <v>242</v>
      </c>
      <c r="E1485" s="35">
        <v>27</v>
      </c>
      <c r="F1485" s="35" t="s">
        <v>349</v>
      </c>
      <c r="G1485" s="35">
        <v>0.65</v>
      </c>
    </row>
    <row r="1486" spans="1:7" x14ac:dyDescent="0.2">
      <c r="A1486" s="35" t="s">
        <v>52</v>
      </c>
      <c r="B1486" s="35" t="s">
        <v>52</v>
      </c>
      <c r="C1486" s="35" t="s">
        <v>223</v>
      </c>
      <c r="D1486" s="35" t="s">
        <v>243</v>
      </c>
      <c r="E1486" s="35">
        <v>27</v>
      </c>
      <c r="F1486" s="35" t="s">
        <v>349</v>
      </c>
      <c r="G1486" s="35">
        <v>0.67</v>
      </c>
    </row>
    <row r="1487" spans="1:7" x14ac:dyDescent="0.2">
      <c r="A1487" s="35" t="s">
        <v>52</v>
      </c>
      <c r="B1487" s="35" t="s">
        <v>52</v>
      </c>
      <c r="C1487" s="35" t="s">
        <v>223</v>
      </c>
      <c r="D1487" s="35" t="s">
        <v>244</v>
      </c>
      <c r="E1487" s="35">
        <v>27</v>
      </c>
      <c r="F1487" s="35" t="s">
        <v>349</v>
      </c>
      <c r="G1487" s="35">
        <v>0.68</v>
      </c>
    </row>
    <row r="1488" spans="1:7" x14ac:dyDescent="0.2">
      <c r="A1488" s="35" t="s">
        <v>52</v>
      </c>
      <c r="B1488" s="35" t="s">
        <v>221</v>
      </c>
      <c r="C1488" s="35" t="s">
        <v>65</v>
      </c>
      <c r="D1488" s="35" t="s">
        <v>225</v>
      </c>
      <c r="E1488" s="35">
        <v>27</v>
      </c>
      <c r="F1488" s="35" t="s">
        <v>349</v>
      </c>
      <c r="G1488" s="35">
        <v>0.67</v>
      </c>
    </row>
    <row r="1489" spans="1:7" x14ac:dyDescent="0.2">
      <c r="A1489" s="35" t="s">
        <v>52</v>
      </c>
      <c r="B1489" s="35" t="s">
        <v>221</v>
      </c>
      <c r="C1489" s="35" t="s">
        <v>223</v>
      </c>
      <c r="D1489" s="35" t="s">
        <v>226</v>
      </c>
      <c r="E1489" s="35">
        <v>27</v>
      </c>
      <c r="F1489" s="35" t="s">
        <v>349</v>
      </c>
      <c r="G1489" s="35">
        <v>0.68</v>
      </c>
    </row>
    <row r="1490" spans="1:7" x14ac:dyDescent="0.2">
      <c r="A1490" s="35" t="s">
        <v>75</v>
      </c>
      <c r="B1490" s="35" t="s">
        <v>75</v>
      </c>
      <c r="C1490" s="35" t="s">
        <v>65</v>
      </c>
      <c r="D1490" s="35" t="s">
        <v>233</v>
      </c>
      <c r="E1490" s="35">
        <v>30</v>
      </c>
      <c r="F1490" s="35" t="s">
        <v>349</v>
      </c>
      <c r="G1490" s="35">
        <v>0.64</v>
      </c>
    </row>
    <row r="1491" spans="1:7" x14ac:dyDescent="0.2">
      <c r="A1491" s="35" t="s">
        <v>75</v>
      </c>
      <c r="B1491" s="35" t="s">
        <v>75</v>
      </c>
      <c r="C1491" s="35" t="s">
        <v>65</v>
      </c>
      <c r="D1491" s="35" t="s">
        <v>227</v>
      </c>
      <c r="E1491" s="35">
        <v>30</v>
      </c>
      <c r="F1491" s="35" t="s">
        <v>349</v>
      </c>
      <c r="G1491" s="35">
        <v>0.65</v>
      </c>
    </row>
    <row r="1492" spans="1:7" x14ac:dyDescent="0.2">
      <c r="A1492" s="35" t="s">
        <v>75</v>
      </c>
      <c r="B1492" s="35" t="s">
        <v>75</v>
      </c>
      <c r="C1492" s="35" t="s">
        <v>65</v>
      </c>
      <c r="D1492" s="35" t="s">
        <v>228</v>
      </c>
      <c r="E1492" s="35">
        <v>30</v>
      </c>
      <c r="F1492" s="35" t="s">
        <v>349</v>
      </c>
      <c r="G1492" s="35">
        <v>0.66</v>
      </c>
    </row>
    <row r="1493" spans="1:7" x14ac:dyDescent="0.2">
      <c r="A1493" s="35" t="s">
        <v>75</v>
      </c>
      <c r="B1493" s="35" t="s">
        <v>75</v>
      </c>
      <c r="C1493" s="35" t="s">
        <v>65</v>
      </c>
      <c r="D1493" s="35" t="s">
        <v>229</v>
      </c>
      <c r="E1493" s="35">
        <v>30</v>
      </c>
      <c r="F1493" s="35" t="s">
        <v>349</v>
      </c>
      <c r="G1493" s="35">
        <v>0.66</v>
      </c>
    </row>
    <row r="1494" spans="1:7" x14ac:dyDescent="0.2">
      <c r="A1494" s="35" t="s">
        <v>75</v>
      </c>
      <c r="B1494" s="35" t="s">
        <v>75</v>
      </c>
      <c r="C1494" s="35" t="s">
        <v>65</v>
      </c>
      <c r="D1494" s="35" t="s">
        <v>234</v>
      </c>
      <c r="E1494" s="35">
        <v>30</v>
      </c>
      <c r="F1494" s="35" t="s">
        <v>349</v>
      </c>
      <c r="G1494" s="35">
        <v>0.66</v>
      </c>
    </row>
    <row r="1495" spans="1:7" x14ac:dyDescent="0.2">
      <c r="A1495" s="35" t="s">
        <v>75</v>
      </c>
      <c r="B1495" s="35" t="s">
        <v>75</v>
      </c>
      <c r="C1495" s="35" t="s">
        <v>223</v>
      </c>
      <c r="D1495" s="35" t="s">
        <v>230</v>
      </c>
      <c r="E1495" s="35">
        <v>30</v>
      </c>
      <c r="F1495" s="35" t="s">
        <v>349</v>
      </c>
      <c r="G1495" s="35">
        <v>0.65</v>
      </c>
    </row>
    <row r="1496" spans="1:7" x14ac:dyDescent="0.2">
      <c r="A1496" s="35" t="s">
        <v>75</v>
      </c>
      <c r="B1496" s="35" t="s">
        <v>75</v>
      </c>
      <c r="C1496" s="35" t="s">
        <v>223</v>
      </c>
      <c r="D1496" s="35" t="s">
        <v>231</v>
      </c>
      <c r="E1496" s="35">
        <v>30</v>
      </c>
      <c r="F1496" s="35" t="s">
        <v>349</v>
      </c>
      <c r="G1496" s="35">
        <v>0.64</v>
      </c>
    </row>
    <row r="1497" spans="1:7" x14ac:dyDescent="0.2">
      <c r="A1497" s="35" t="s">
        <v>75</v>
      </c>
      <c r="B1497" s="35" t="s">
        <v>75</v>
      </c>
      <c r="C1497" s="35" t="s">
        <v>223</v>
      </c>
      <c r="D1497" s="35" t="s">
        <v>235</v>
      </c>
      <c r="E1497" s="35">
        <v>30</v>
      </c>
      <c r="F1497" s="35" t="s">
        <v>349</v>
      </c>
      <c r="G1497" s="35">
        <v>0.64</v>
      </c>
    </row>
    <row r="1498" spans="1:7" x14ac:dyDescent="0.2">
      <c r="A1498" s="35" t="s">
        <v>75</v>
      </c>
      <c r="B1498" s="35" t="s">
        <v>75</v>
      </c>
      <c r="C1498" s="35" t="s">
        <v>223</v>
      </c>
      <c r="D1498" s="35" t="s">
        <v>232</v>
      </c>
      <c r="E1498" s="35">
        <v>30</v>
      </c>
      <c r="F1498" s="35" t="s">
        <v>349</v>
      </c>
      <c r="G1498" s="35">
        <v>0.67</v>
      </c>
    </row>
    <row r="1499" spans="1:7" x14ac:dyDescent="0.2">
      <c r="A1499" s="35" t="s">
        <v>75</v>
      </c>
      <c r="B1499" s="35" t="s">
        <v>75</v>
      </c>
      <c r="C1499" s="35" t="s">
        <v>223</v>
      </c>
      <c r="D1499" s="35" t="s">
        <v>236</v>
      </c>
      <c r="E1499" s="35">
        <v>30</v>
      </c>
      <c r="F1499" s="35" t="s">
        <v>349</v>
      </c>
      <c r="G1499" s="35">
        <v>0.66</v>
      </c>
    </row>
    <row r="1500" spans="1:7" x14ac:dyDescent="0.2">
      <c r="A1500" s="35" t="s">
        <v>75</v>
      </c>
      <c r="B1500" s="35" t="s">
        <v>221</v>
      </c>
      <c r="C1500" s="35" t="s">
        <v>65</v>
      </c>
      <c r="D1500" s="35" t="s">
        <v>222</v>
      </c>
      <c r="E1500" s="35">
        <v>30</v>
      </c>
      <c r="F1500" s="35" t="s">
        <v>349</v>
      </c>
      <c r="G1500" s="35">
        <v>0.65</v>
      </c>
    </row>
    <row r="1501" spans="1:7" x14ac:dyDescent="0.2">
      <c r="A1501" s="35" t="s">
        <v>75</v>
      </c>
      <c r="B1501" s="35" t="s">
        <v>221</v>
      </c>
      <c r="C1501" s="35" t="s">
        <v>223</v>
      </c>
      <c r="D1501" s="35" t="s">
        <v>224</v>
      </c>
      <c r="E1501" s="35">
        <v>30</v>
      </c>
      <c r="F1501" s="35" t="s">
        <v>349</v>
      </c>
      <c r="G1501" s="35">
        <v>0.64</v>
      </c>
    </row>
    <row r="1502" spans="1:7" x14ac:dyDescent="0.2">
      <c r="A1502" s="35" t="s">
        <v>52</v>
      </c>
      <c r="B1502" s="35" t="s">
        <v>52</v>
      </c>
      <c r="C1502" s="35" t="s">
        <v>65</v>
      </c>
      <c r="D1502" s="35" t="s">
        <v>237</v>
      </c>
      <c r="E1502" s="35">
        <v>30</v>
      </c>
      <c r="F1502" s="35" t="s">
        <v>349</v>
      </c>
      <c r="G1502" s="35">
        <v>0.64</v>
      </c>
    </row>
    <row r="1503" spans="1:7" x14ac:dyDescent="0.2">
      <c r="A1503" s="35" t="s">
        <v>52</v>
      </c>
      <c r="B1503" s="35" t="s">
        <v>52</v>
      </c>
      <c r="C1503" s="35" t="s">
        <v>65</v>
      </c>
      <c r="D1503" s="35" t="s">
        <v>238</v>
      </c>
      <c r="E1503" s="35">
        <v>30</v>
      </c>
      <c r="F1503" s="35" t="s">
        <v>349</v>
      </c>
      <c r="G1503" s="35">
        <v>0.65</v>
      </c>
    </row>
    <row r="1504" spans="1:7" x14ac:dyDescent="0.2">
      <c r="A1504" s="35" t="s">
        <v>52</v>
      </c>
      <c r="B1504" s="35" t="s">
        <v>52</v>
      </c>
      <c r="C1504" s="35" t="s">
        <v>65</v>
      </c>
      <c r="D1504" s="35" t="s">
        <v>239</v>
      </c>
      <c r="E1504" s="35">
        <v>30</v>
      </c>
      <c r="F1504" s="35" t="s">
        <v>349</v>
      </c>
      <c r="G1504" s="35">
        <v>0.65</v>
      </c>
    </row>
    <row r="1505" spans="1:7" x14ac:dyDescent="0.2">
      <c r="A1505" s="35" t="s">
        <v>52</v>
      </c>
      <c r="B1505" s="35" t="s">
        <v>52</v>
      </c>
      <c r="C1505" s="35" t="s">
        <v>65</v>
      </c>
      <c r="D1505" s="35" t="s">
        <v>240</v>
      </c>
      <c r="E1505" s="35">
        <v>30</v>
      </c>
      <c r="F1505" s="35" t="s">
        <v>349</v>
      </c>
      <c r="G1505" s="35">
        <v>0.66</v>
      </c>
    </row>
    <row r="1506" spans="1:7" x14ac:dyDescent="0.2">
      <c r="A1506" s="35" t="s">
        <v>52</v>
      </c>
      <c r="B1506" s="35" t="s">
        <v>52</v>
      </c>
      <c r="C1506" s="35" t="s">
        <v>65</v>
      </c>
      <c r="D1506" s="35" t="s">
        <v>245</v>
      </c>
      <c r="E1506" s="35">
        <v>30</v>
      </c>
      <c r="F1506" s="35" t="s">
        <v>349</v>
      </c>
      <c r="G1506" s="35">
        <v>0.66</v>
      </c>
    </row>
    <row r="1507" spans="1:7" x14ac:dyDescent="0.2">
      <c r="A1507" s="35" t="s">
        <v>52</v>
      </c>
      <c r="B1507" s="35" t="s">
        <v>52</v>
      </c>
      <c r="C1507" s="35" t="s">
        <v>223</v>
      </c>
      <c r="D1507" s="35" t="s">
        <v>241</v>
      </c>
      <c r="E1507" s="35">
        <v>30</v>
      </c>
      <c r="F1507" s="35" t="s">
        <v>349</v>
      </c>
      <c r="G1507" s="35">
        <v>0.61</v>
      </c>
    </row>
    <row r="1508" spans="1:7" x14ac:dyDescent="0.2">
      <c r="A1508" s="35" t="s">
        <v>52</v>
      </c>
      <c r="B1508" s="35" t="s">
        <v>52</v>
      </c>
      <c r="C1508" s="35" t="s">
        <v>223</v>
      </c>
      <c r="D1508" s="35" t="s">
        <v>246</v>
      </c>
      <c r="E1508" s="35">
        <v>30</v>
      </c>
      <c r="F1508" s="35" t="s">
        <v>349</v>
      </c>
      <c r="G1508" s="35">
        <v>0.63</v>
      </c>
    </row>
    <row r="1509" spans="1:7" x14ac:dyDescent="0.2">
      <c r="A1509" s="35" t="s">
        <v>52</v>
      </c>
      <c r="B1509" s="35" t="s">
        <v>52</v>
      </c>
      <c r="C1509" s="35" t="s">
        <v>223</v>
      </c>
      <c r="D1509" s="35" t="s">
        <v>242</v>
      </c>
      <c r="E1509" s="35">
        <v>30</v>
      </c>
      <c r="F1509" s="35" t="s">
        <v>349</v>
      </c>
      <c r="G1509" s="35">
        <v>0.61</v>
      </c>
    </row>
    <row r="1510" spans="1:7" x14ac:dyDescent="0.2">
      <c r="A1510" s="35" t="s">
        <v>52</v>
      </c>
      <c r="B1510" s="35" t="s">
        <v>52</v>
      </c>
      <c r="C1510" s="35" t="s">
        <v>223</v>
      </c>
      <c r="D1510" s="35" t="s">
        <v>243</v>
      </c>
      <c r="E1510" s="35">
        <v>30</v>
      </c>
      <c r="F1510" s="35" t="s">
        <v>349</v>
      </c>
      <c r="G1510" s="35">
        <v>0.65</v>
      </c>
    </row>
    <row r="1511" spans="1:7" x14ac:dyDescent="0.2">
      <c r="A1511" s="35" t="s">
        <v>52</v>
      </c>
      <c r="B1511" s="35" t="s">
        <v>52</v>
      </c>
      <c r="C1511" s="35" t="s">
        <v>223</v>
      </c>
      <c r="D1511" s="35" t="s">
        <v>244</v>
      </c>
      <c r="E1511" s="35">
        <v>30</v>
      </c>
      <c r="F1511" s="35" t="s">
        <v>349</v>
      </c>
      <c r="G1511" s="35">
        <v>0.66</v>
      </c>
    </row>
    <row r="1512" spans="1:7" x14ac:dyDescent="0.2">
      <c r="A1512" s="35" t="s">
        <v>52</v>
      </c>
      <c r="B1512" s="35" t="s">
        <v>221</v>
      </c>
      <c r="C1512" s="35" t="s">
        <v>65</v>
      </c>
      <c r="D1512" s="35" t="s">
        <v>225</v>
      </c>
      <c r="E1512" s="35">
        <v>30</v>
      </c>
      <c r="F1512" s="35" t="s">
        <v>349</v>
      </c>
      <c r="G1512" s="35">
        <v>0.65</v>
      </c>
    </row>
    <row r="1513" spans="1:7" x14ac:dyDescent="0.2">
      <c r="A1513" s="35" t="s">
        <v>52</v>
      </c>
      <c r="B1513" s="35" t="s">
        <v>221</v>
      </c>
      <c r="C1513" s="35" t="s">
        <v>223</v>
      </c>
      <c r="D1513" s="35" t="s">
        <v>226</v>
      </c>
      <c r="E1513" s="35">
        <v>30</v>
      </c>
      <c r="F1513" s="35" t="s">
        <v>349</v>
      </c>
      <c r="G1513" s="35">
        <v>0.66</v>
      </c>
    </row>
    <row r="1514" spans="1:7" x14ac:dyDescent="0.2">
      <c r="A1514" s="35" t="s">
        <v>75</v>
      </c>
      <c r="B1514" s="35" t="s">
        <v>75</v>
      </c>
      <c r="C1514" s="35" t="s">
        <v>65</v>
      </c>
      <c r="D1514" s="35" t="s">
        <v>233</v>
      </c>
      <c r="E1514" s="35">
        <v>31</v>
      </c>
      <c r="F1514" s="35" t="s">
        <v>349</v>
      </c>
      <c r="G1514" s="35">
        <v>0.56000000000000005</v>
      </c>
    </row>
    <row r="1515" spans="1:7" x14ac:dyDescent="0.2">
      <c r="A1515" s="35" t="s">
        <v>75</v>
      </c>
      <c r="B1515" s="35" t="s">
        <v>75</v>
      </c>
      <c r="C1515" s="35" t="s">
        <v>65</v>
      </c>
      <c r="D1515" s="35" t="s">
        <v>227</v>
      </c>
      <c r="E1515" s="35">
        <v>31</v>
      </c>
      <c r="F1515" s="35" t="s">
        <v>349</v>
      </c>
      <c r="G1515" s="35">
        <v>0.63</v>
      </c>
    </row>
    <row r="1516" spans="1:7" x14ac:dyDescent="0.2">
      <c r="A1516" s="35" t="s">
        <v>75</v>
      </c>
      <c r="B1516" s="35" t="s">
        <v>75</v>
      </c>
      <c r="C1516" s="35" t="s">
        <v>65</v>
      </c>
      <c r="D1516" s="35" t="s">
        <v>228</v>
      </c>
      <c r="E1516" s="35">
        <v>31</v>
      </c>
      <c r="F1516" s="35" t="s">
        <v>349</v>
      </c>
      <c r="G1516" s="35">
        <v>0.62</v>
      </c>
    </row>
    <row r="1517" spans="1:7" x14ac:dyDescent="0.2">
      <c r="A1517" s="35" t="s">
        <v>75</v>
      </c>
      <c r="B1517" s="35" t="s">
        <v>75</v>
      </c>
      <c r="C1517" s="35" t="s">
        <v>65</v>
      </c>
      <c r="D1517" s="35" t="s">
        <v>229</v>
      </c>
      <c r="E1517" s="35">
        <v>31</v>
      </c>
      <c r="F1517" s="35" t="s">
        <v>349</v>
      </c>
      <c r="G1517" s="35">
        <v>0.65</v>
      </c>
    </row>
    <row r="1518" spans="1:7" x14ac:dyDescent="0.2">
      <c r="A1518" s="35" t="s">
        <v>75</v>
      </c>
      <c r="B1518" s="35" t="s">
        <v>75</v>
      </c>
      <c r="C1518" s="35" t="s">
        <v>65</v>
      </c>
      <c r="D1518" s="35" t="s">
        <v>234</v>
      </c>
      <c r="E1518" s="35">
        <v>31</v>
      </c>
      <c r="F1518" s="35" t="s">
        <v>349</v>
      </c>
      <c r="G1518" s="35">
        <v>0.66</v>
      </c>
    </row>
    <row r="1519" spans="1:7" x14ac:dyDescent="0.2">
      <c r="A1519" s="35" t="s">
        <v>75</v>
      </c>
      <c r="B1519" s="35" t="s">
        <v>75</v>
      </c>
      <c r="C1519" s="35" t="s">
        <v>223</v>
      </c>
      <c r="D1519" s="35" t="s">
        <v>230</v>
      </c>
      <c r="E1519" s="35">
        <v>31</v>
      </c>
      <c r="F1519" s="35" t="s">
        <v>349</v>
      </c>
      <c r="G1519" s="35">
        <v>0.56999999999999995</v>
      </c>
    </row>
    <row r="1520" spans="1:7" x14ac:dyDescent="0.2">
      <c r="A1520" s="35" t="s">
        <v>75</v>
      </c>
      <c r="B1520" s="35" t="s">
        <v>75</v>
      </c>
      <c r="C1520" s="35" t="s">
        <v>223</v>
      </c>
      <c r="D1520" s="35" t="s">
        <v>231</v>
      </c>
      <c r="E1520" s="35">
        <v>31</v>
      </c>
      <c r="F1520" s="35" t="s">
        <v>349</v>
      </c>
      <c r="G1520" s="35">
        <v>0.59</v>
      </c>
    </row>
    <row r="1521" spans="1:7" x14ac:dyDescent="0.2">
      <c r="A1521" s="35" t="s">
        <v>75</v>
      </c>
      <c r="B1521" s="35" t="s">
        <v>75</v>
      </c>
      <c r="C1521" s="35" t="s">
        <v>223</v>
      </c>
      <c r="D1521" s="35" t="s">
        <v>235</v>
      </c>
      <c r="E1521" s="35">
        <v>31</v>
      </c>
      <c r="F1521" s="35" t="s">
        <v>349</v>
      </c>
      <c r="G1521" s="35">
        <v>0.62</v>
      </c>
    </row>
    <row r="1522" spans="1:7" x14ac:dyDescent="0.2">
      <c r="A1522" s="35" t="s">
        <v>75</v>
      </c>
      <c r="B1522" s="35" t="s">
        <v>75</v>
      </c>
      <c r="C1522" s="35" t="s">
        <v>223</v>
      </c>
      <c r="D1522" s="35" t="s">
        <v>232</v>
      </c>
      <c r="E1522" s="35">
        <v>31</v>
      </c>
      <c r="F1522" s="35" t="s">
        <v>349</v>
      </c>
      <c r="G1522" s="35">
        <v>0.57999999999999996</v>
      </c>
    </row>
    <row r="1523" spans="1:7" x14ac:dyDescent="0.2">
      <c r="A1523" s="35" t="s">
        <v>75</v>
      </c>
      <c r="B1523" s="35" t="s">
        <v>75</v>
      </c>
      <c r="C1523" s="35" t="s">
        <v>223</v>
      </c>
      <c r="D1523" s="35" t="s">
        <v>236</v>
      </c>
      <c r="E1523" s="35">
        <v>31</v>
      </c>
      <c r="F1523" s="35" t="s">
        <v>349</v>
      </c>
      <c r="G1523" s="35">
        <v>0.61</v>
      </c>
    </row>
    <row r="1524" spans="1:7" x14ac:dyDescent="0.2">
      <c r="A1524" s="35" t="s">
        <v>75</v>
      </c>
      <c r="B1524" s="35" t="s">
        <v>221</v>
      </c>
      <c r="C1524" s="35" t="s">
        <v>65</v>
      </c>
      <c r="D1524" s="35" t="s">
        <v>222</v>
      </c>
      <c r="E1524" s="35">
        <v>31</v>
      </c>
      <c r="F1524" s="35" t="s">
        <v>349</v>
      </c>
      <c r="G1524" s="35">
        <v>0</v>
      </c>
    </row>
    <row r="1525" spans="1:7" x14ac:dyDescent="0.2">
      <c r="A1525" s="35" t="s">
        <v>75</v>
      </c>
      <c r="B1525" s="35" t="s">
        <v>221</v>
      </c>
      <c r="C1525" s="35" t="s">
        <v>223</v>
      </c>
      <c r="D1525" s="35" t="s">
        <v>224</v>
      </c>
      <c r="E1525" s="35">
        <v>31</v>
      </c>
      <c r="F1525" s="35" t="s">
        <v>349</v>
      </c>
      <c r="G1525" s="35">
        <v>0.62</v>
      </c>
    </row>
    <row r="1526" spans="1:7" x14ac:dyDescent="0.2">
      <c r="A1526" s="35" t="s">
        <v>52</v>
      </c>
      <c r="B1526" s="35" t="s">
        <v>52</v>
      </c>
      <c r="C1526" s="35" t="s">
        <v>65</v>
      </c>
      <c r="D1526" s="35" t="s">
        <v>237</v>
      </c>
      <c r="E1526" s="35">
        <v>31</v>
      </c>
      <c r="F1526" s="35" t="s">
        <v>349</v>
      </c>
      <c r="G1526" s="35">
        <v>0.6</v>
      </c>
    </row>
    <row r="1527" spans="1:7" x14ac:dyDescent="0.2">
      <c r="A1527" s="35" t="s">
        <v>52</v>
      </c>
      <c r="B1527" s="35" t="s">
        <v>52</v>
      </c>
      <c r="C1527" s="35" t="s">
        <v>65</v>
      </c>
      <c r="D1527" s="35" t="s">
        <v>238</v>
      </c>
      <c r="E1527" s="35">
        <v>31</v>
      </c>
      <c r="F1527" s="35" t="s">
        <v>349</v>
      </c>
      <c r="G1527" s="35">
        <v>0.62</v>
      </c>
    </row>
    <row r="1528" spans="1:7" x14ac:dyDescent="0.2">
      <c r="A1528" s="35" t="s">
        <v>52</v>
      </c>
      <c r="B1528" s="35" t="s">
        <v>52</v>
      </c>
      <c r="C1528" s="35" t="s">
        <v>65</v>
      </c>
      <c r="D1528" s="35" t="s">
        <v>239</v>
      </c>
      <c r="E1528" s="35">
        <v>31</v>
      </c>
      <c r="F1528" s="35" t="s">
        <v>349</v>
      </c>
      <c r="G1528" s="35">
        <v>0.62</v>
      </c>
    </row>
    <row r="1529" spans="1:7" x14ac:dyDescent="0.2">
      <c r="A1529" s="35" t="s">
        <v>52</v>
      </c>
      <c r="B1529" s="35" t="s">
        <v>52</v>
      </c>
      <c r="C1529" s="35" t="s">
        <v>65</v>
      </c>
      <c r="D1529" s="35" t="s">
        <v>240</v>
      </c>
      <c r="E1529" s="35">
        <v>31</v>
      </c>
      <c r="F1529" s="35" t="s">
        <v>349</v>
      </c>
      <c r="G1529" s="35">
        <v>0.66</v>
      </c>
    </row>
    <row r="1530" spans="1:7" x14ac:dyDescent="0.2">
      <c r="A1530" s="35" t="s">
        <v>52</v>
      </c>
      <c r="B1530" s="35" t="s">
        <v>52</v>
      </c>
      <c r="C1530" s="35" t="s">
        <v>65</v>
      </c>
      <c r="D1530" s="35" t="s">
        <v>245</v>
      </c>
      <c r="E1530" s="35">
        <v>31</v>
      </c>
      <c r="F1530" s="35" t="s">
        <v>349</v>
      </c>
      <c r="G1530" s="35">
        <v>0.65</v>
      </c>
    </row>
    <row r="1531" spans="1:7" x14ac:dyDescent="0.2">
      <c r="A1531" s="35" t="s">
        <v>52</v>
      </c>
      <c r="B1531" s="35" t="s">
        <v>52</v>
      </c>
      <c r="C1531" s="35" t="s">
        <v>223</v>
      </c>
      <c r="D1531" s="35" t="s">
        <v>241</v>
      </c>
      <c r="E1531" s="35">
        <v>31</v>
      </c>
      <c r="F1531" s="35" t="s">
        <v>349</v>
      </c>
      <c r="G1531" s="35">
        <v>0.64</v>
      </c>
    </row>
    <row r="1532" spans="1:7" x14ac:dyDescent="0.2">
      <c r="A1532" s="35" t="s">
        <v>52</v>
      </c>
      <c r="B1532" s="35" t="s">
        <v>52</v>
      </c>
      <c r="C1532" s="35" t="s">
        <v>223</v>
      </c>
      <c r="D1532" s="35" t="s">
        <v>246</v>
      </c>
      <c r="E1532" s="35">
        <v>31</v>
      </c>
      <c r="F1532" s="35" t="s">
        <v>349</v>
      </c>
      <c r="G1532" s="35">
        <v>0.63</v>
      </c>
    </row>
    <row r="1533" spans="1:7" x14ac:dyDescent="0.2">
      <c r="A1533" s="35" t="s">
        <v>52</v>
      </c>
      <c r="B1533" s="35" t="s">
        <v>52</v>
      </c>
      <c r="C1533" s="35" t="s">
        <v>223</v>
      </c>
      <c r="D1533" s="35" t="s">
        <v>242</v>
      </c>
      <c r="E1533" s="35">
        <v>31</v>
      </c>
      <c r="F1533" s="35" t="s">
        <v>349</v>
      </c>
      <c r="G1533" s="35">
        <v>0.65</v>
      </c>
    </row>
    <row r="1534" spans="1:7" x14ac:dyDescent="0.2">
      <c r="A1534" s="35" t="s">
        <v>52</v>
      </c>
      <c r="B1534" s="35" t="s">
        <v>52</v>
      </c>
      <c r="C1534" s="35" t="s">
        <v>223</v>
      </c>
      <c r="D1534" s="35" t="s">
        <v>243</v>
      </c>
      <c r="E1534" s="35">
        <v>31</v>
      </c>
      <c r="F1534" s="35" t="s">
        <v>349</v>
      </c>
      <c r="G1534" s="35">
        <v>0.66</v>
      </c>
    </row>
    <row r="1535" spans="1:7" x14ac:dyDescent="0.2">
      <c r="A1535" s="35" t="s">
        <v>52</v>
      </c>
      <c r="B1535" s="35" t="s">
        <v>52</v>
      </c>
      <c r="C1535" s="35" t="s">
        <v>223</v>
      </c>
      <c r="D1535" s="35" t="s">
        <v>244</v>
      </c>
      <c r="E1535" s="35">
        <v>31</v>
      </c>
      <c r="F1535" s="35" t="s">
        <v>349</v>
      </c>
      <c r="G1535" s="35">
        <v>0.68</v>
      </c>
    </row>
    <row r="1536" spans="1:7" x14ac:dyDescent="0.2">
      <c r="A1536" s="35" t="s">
        <v>52</v>
      </c>
      <c r="B1536" s="35" t="s">
        <v>221</v>
      </c>
      <c r="C1536" s="35" t="s">
        <v>65</v>
      </c>
      <c r="D1536" s="35" t="s">
        <v>225</v>
      </c>
      <c r="E1536" s="35">
        <v>31</v>
      </c>
      <c r="F1536" s="35" t="s">
        <v>349</v>
      </c>
      <c r="G1536" s="35">
        <v>0.6</v>
      </c>
    </row>
    <row r="1537" spans="1:7" x14ac:dyDescent="0.2">
      <c r="A1537" s="35" t="s">
        <v>52</v>
      </c>
      <c r="B1537" s="35" t="s">
        <v>221</v>
      </c>
      <c r="C1537" s="35" t="s">
        <v>223</v>
      </c>
      <c r="D1537" s="35" t="s">
        <v>226</v>
      </c>
      <c r="E1537" s="35">
        <v>31</v>
      </c>
      <c r="F1537" s="35" t="s">
        <v>349</v>
      </c>
      <c r="G1537" s="35">
        <v>0.64</v>
      </c>
    </row>
    <row r="1538" spans="1:7" x14ac:dyDescent="0.2">
      <c r="A1538" s="35" t="s">
        <v>75</v>
      </c>
      <c r="B1538" s="35" t="s">
        <v>75</v>
      </c>
      <c r="C1538" s="35" t="s">
        <v>65</v>
      </c>
      <c r="D1538" s="35" t="s">
        <v>233</v>
      </c>
      <c r="E1538" s="35">
        <v>32</v>
      </c>
      <c r="F1538" s="35" t="s">
        <v>349</v>
      </c>
      <c r="G1538" s="35">
        <v>0.63</v>
      </c>
    </row>
    <row r="1539" spans="1:7" x14ac:dyDescent="0.2">
      <c r="A1539" s="35" t="s">
        <v>75</v>
      </c>
      <c r="B1539" s="35" t="s">
        <v>75</v>
      </c>
      <c r="C1539" s="35" t="s">
        <v>65</v>
      </c>
      <c r="D1539" s="35" t="s">
        <v>227</v>
      </c>
      <c r="E1539" s="35">
        <v>32</v>
      </c>
      <c r="F1539" s="35" t="s">
        <v>349</v>
      </c>
      <c r="G1539" s="35">
        <v>0.66</v>
      </c>
    </row>
    <row r="1540" spans="1:7" x14ac:dyDescent="0.2">
      <c r="A1540" s="35" t="s">
        <v>75</v>
      </c>
      <c r="B1540" s="35" t="s">
        <v>75</v>
      </c>
      <c r="C1540" s="35" t="s">
        <v>65</v>
      </c>
      <c r="D1540" s="35" t="s">
        <v>228</v>
      </c>
      <c r="E1540" s="35">
        <v>32</v>
      </c>
      <c r="F1540" s="35" t="s">
        <v>349</v>
      </c>
      <c r="G1540" s="35">
        <v>0.65</v>
      </c>
    </row>
    <row r="1541" spans="1:7" x14ac:dyDescent="0.2">
      <c r="A1541" s="35" t="s">
        <v>75</v>
      </c>
      <c r="B1541" s="35" t="s">
        <v>75</v>
      </c>
      <c r="C1541" s="35" t="s">
        <v>65</v>
      </c>
      <c r="D1541" s="35" t="s">
        <v>229</v>
      </c>
      <c r="E1541" s="35">
        <v>32</v>
      </c>
      <c r="F1541" s="35" t="s">
        <v>349</v>
      </c>
      <c r="G1541" s="35">
        <v>0.64</v>
      </c>
    </row>
    <row r="1542" spans="1:7" x14ac:dyDescent="0.2">
      <c r="A1542" s="35" t="s">
        <v>75</v>
      </c>
      <c r="B1542" s="35" t="s">
        <v>75</v>
      </c>
      <c r="C1542" s="35" t="s">
        <v>65</v>
      </c>
      <c r="D1542" s="35" t="s">
        <v>234</v>
      </c>
      <c r="E1542" s="35">
        <v>32</v>
      </c>
      <c r="F1542" s="35" t="s">
        <v>349</v>
      </c>
      <c r="G1542" s="35">
        <v>0.66</v>
      </c>
    </row>
    <row r="1543" spans="1:7" x14ac:dyDescent="0.2">
      <c r="A1543" s="35" t="s">
        <v>75</v>
      </c>
      <c r="B1543" s="35" t="s">
        <v>75</v>
      </c>
      <c r="C1543" s="35" t="s">
        <v>223</v>
      </c>
      <c r="D1543" s="35" t="s">
        <v>230</v>
      </c>
      <c r="E1543" s="35">
        <v>32</v>
      </c>
      <c r="F1543" s="35" t="s">
        <v>349</v>
      </c>
      <c r="G1543" s="35">
        <v>0.62</v>
      </c>
    </row>
    <row r="1544" spans="1:7" x14ac:dyDescent="0.2">
      <c r="A1544" s="35" t="s">
        <v>75</v>
      </c>
      <c r="B1544" s="35" t="s">
        <v>75</v>
      </c>
      <c r="C1544" s="35" t="s">
        <v>223</v>
      </c>
      <c r="D1544" s="35" t="s">
        <v>231</v>
      </c>
      <c r="E1544" s="35">
        <v>32</v>
      </c>
      <c r="F1544" s="35" t="s">
        <v>349</v>
      </c>
      <c r="G1544" s="35">
        <v>0.64</v>
      </c>
    </row>
    <row r="1545" spans="1:7" x14ac:dyDescent="0.2">
      <c r="A1545" s="35" t="s">
        <v>75</v>
      </c>
      <c r="B1545" s="35" t="s">
        <v>75</v>
      </c>
      <c r="C1545" s="35" t="s">
        <v>223</v>
      </c>
      <c r="D1545" s="35" t="s">
        <v>235</v>
      </c>
      <c r="E1545" s="35">
        <v>32</v>
      </c>
      <c r="F1545" s="35" t="s">
        <v>349</v>
      </c>
      <c r="G1545" s="35">
        <v>0.63</v>
      </c>
    </row>
    <row r="1546" spans="1:7" x14ac:dyDescent="0.2">
      <c r="A1546" s="35" t="s">
        <v>75</v>
      </c>
      <c r="B1546" s="35" t="s">
        <v>75</v>
      </c>
      <c r="C1546" s="35" t="s">
        <v>223</v>
      </c>
      <c r="D1546" s="35" t="s">
        <v>232</v>
      </c>
      <c r="E1546" s="35">
        <v>32</v>
      </c>
      <c r="F1546" s="35" t="s">
        <v>349</v>
      </c>
      <c r="G1546" s="35">
        <v>0.65</v>
      </c>
    </row>
    <row r="1547" spans="1:7" x14ac:dyDescent="0.2">
      <c r="A1547" s="35" t="s">
        <v>75</v>
      </c>
      <c r="B1547" s="35" t="s">
        <v>75</v>
      </c>
      <c r="C1547" s="35" t="s">
        <v>223</v>
      </c>
      <c r="D1547" s="35" t="s">
        <v>236</v>
      </c>
      <c r="E1547" s="35">
        <v>32</v>
      </c>
      <c r="F1547" s="35" t="s">
        <v>349</v>
      </c>
      <c r="G1547" s="35">
        <v>0.64</v>
      </c>
    </row>
    <row r="1548" spans="1:7" x14ac:dyDescent="0.2">
      <c r="A1548" s="35" t="s">
        <v>75</v>
      </c>
      <c r="B1548" s="35" t="s">
        <v>221</v>
      </c>
      <c r="C1548" s="35" t="s">
        <v>65</v>
      </c>
      <c r="D1548" s="35" t="s">
        <v>222</v>
      </c>
      <c r="E1548" s="35">
        <v>32</v>
      </c>
      <c r="F1548" s="35" t="s">
        <v>349</v>
      </c>
      <c r="G1548" s="35">
        <v>0.66</v>
      </c>
    </row>
    <row r="1549" spans="1:7" x14ac:dyDescent="0.2">
      <c r="A1549" s="35" t="s">
        <v>75</v>
      </c>
      <c r="B1549" s="35" t="s">
        <v>221</v>
      </c>
      <c r="C1549" s="35" t="s">
        <v>223</v>
      </c>
      <c r="D1549" s="35" t="s">
        <v>224</v>
      </c>
      <c r="E1549" s="35">
        <v>32</v>
      </c>
      <c r="F1549" s="35" t="s">
        <v>349</v>
      </c>
      <c r="G1549" s="35">
        <v>0.64</v>
      </c>
    </row>
    <row r="1550" spans="1:7" x14ac:dyDescent="0.2">
      <c r="A1550" s="35" t="s">
        <v>52</v>
      </c>
      <c r="B1550" s="35" t="s">
        <v>52</v>
      </c>
      <c r="C1550" s="35" t="s">
        <v>65</v>
      </c>
      <c r="D1550" s="35" t="s">
        <v>237</v>
      </c>
      <c r="E1550" s="35">
        <v>32</v>
      </c>
      <c r="F1550" s="35" t="s">
        <v>349</v>
      </c>
      <c r="G1550" s="35">
        <v>0.65</v>
      </c>
    </row>
    <row r="1551" spans="1:7" x14ac:dyDescent="0.2">
      <c r="A1551" s="35" t="s">
        <v>52</v>
      </c>
      <c r="B1551" s="35" t="s">
        <v>52</v>
      </c>
      <c r="C1551" s="35" t="s">
        <v>65</v>
      </c>
      <c r="D1551" s="35" t="s">
        <v>238</v>
      </c>
      <c r="E1551" s="35">
        <v>32</v>
      </c>
      <c r="F1551" s="35" t="s">
        <v>349</v>
      </c>
      <c r="G1551" s="35">
        <v>0.66</v>
      </c>
    </row>
    <row r="1552" spans="1:7" x14ac:dyDescent="0.2">
      <c r="A1552" s="35" t="s">
        <v>52</v>
      </c>
      <c r="B1552" s="35" t="s">
        <v>52</v>
      </c>
      <c r="C1552" s="35" t="s">
        <v>65</v>
      </c>
      <c r="D1552" s="35" t="s">
        <v>239</v>
      </c>
      <c r="E1552" s="35">
        <v>32</v>
      </c>
      <c r="F1552" s="35" t="s">
        <v>349</v>
      </c>
      <c r="G1552" s="35">
        <v>0.68</v>
      </c>
    </row>
    <row r="1553" spans="1:7" x14ac:dyDescent="0.2">
      <c r="A1553" s="35" t="s">
        <v>52</v>
      </c>
      <c r="B1553" s="35" t="s">
        <v>52</v>
      </c>
      <c r="C1553" s="35" t="s">
        <v>65</v>
      </c>
      <c r="D1553" s="35" t="s">
        <v>240</v>
      </c>
      <c r="E1553" s="35">
        <v>32</v>
      </c>
      <c r="F1553" s="35" t="s">
        <v>349</v>
      </c>
      <c r="G1553" s="35">
        <v>0.61</v>
      </c>
    </row>
    <row r="1554" spans="1:7" x14ac:dyDescent="0.2">
      <c r="A1554" s="35" t="s">
        <v>52</v>
      </c>
      <c r="B1554" s="35" t="s">
        <v>52</v>
      </c>
      <c r="C1554" s="35" t="s">
        <v>65</v>
      </c>
      <c r="D1554" s="35" t="s">
        <v>245</v>
      </c>
      <c r="E1554" s="35">
        <v>32</v>
      </c>
      <c r="F1554" s="35" t="s">
        <v>349</v>
      </c>
      <c r="G1554" s="35">
        <v>0.65</v>
      </c>
    </row>
    <row r="1555" spans="1:7" x14ac:dyDescent="0.2">
      <c r="A1555" s="35" t="s">
        <v>52</v>
      </c>
      <c r="B1555" s="35" t="s">
        <v>52</v>
      </c>
      <c r="C1555" s="35" t="s">
        <v>223</v>
      </c>
      <c r="D1555" s="35" t="s">
        <v>241</v>
      </c>
      <c r="E1555" s="35">
        <v>32</v>
      </c>
      <c r="F1555" s="35" t="s">
        <v>349</v>
      </c>
      <c r="G1555" s="35">
        <v>0.61</v>
      </c>
    </row>
    <row r="1556" spans="1:7" x14ac:dyDescent="0.2">
      <c r="A1556" s="35" t="s">
        <v>52</v>
      </c>
      <c r="B1556" s="35" t="s">
        <v>52</v>
      </c>
      <c r="C1556" s="35" t="s">
        <v>223</v>
      </c>
      <c r="D1556" s="35" t="s">
        <v>246</v>
      </c>
      <c r="E1556" s="35">
        <v>32</v>
      </c>
      <c r="F1556" s="35" t="s">
        <v>349</v>
      </c>
      <c r="G1556" s="35">
        <v>0.65</v>
      </c>
    </row>
    <row r="1557" spans="1:7" x14ac:dyDescent="0.2">
      <c r="A1557" s="35" t="s">
        <v>52</v>
      </c>
      <c r="B1557" s="35" t="s">
        <v>52</v>
      </c>
      <c r="C1557" s="35" t="s">
        <v>223</v>
      </c>
      <c r="D1557" s="35" t="s">
        <v>242</v>
      </c>
      <c r="E1557" s="35">
        <v>32</v>
      </c>
      <c r="F1557" s="35" t="s">
        <v>349</v>
      </c>
      <c r="G1557" s="35">
        <v>0.63</v>
      </c>
    </row>
    <row r="1558" spans="1:7" x14ac:dyDescent="0.2">
      <c r="A1558" s="35" t="s">
        <v>52</v>
      </c>
      <c r="B1558" s="35" t="s">
        <v>52</v>
      </c>
      <c r="C1558" s="35" t="s">
        <v>223</v>
      </c>
      <c r="D1558" s="35" t="s">
        <v>243</v>
      </c>
      <c r="E1558" s="35">
        <v>32</v>
      </c>
      <c r="F1558" s="35" t="s">
        <v>349</v>
      </c>
      <c r="G1558" s="35">
        <v>0.64</v>
      </c>
    </row>
    <row r="1559" spans="1:7" x14ac:dyDescent="0.2">
      <c r="A1559" s="35" t="s">
        <v>52</v>
      </c>
      <c r="B1559" s="35" t="s">
        <v>52</v>
      </c>
      <c r="C1559" s="35" t="s">
        <v>223</v>
      </c>
      <c r="D1559" s="35" t="s">
        <v>244</v>
      </c>
      <c r="E1559" s="35">
        <v>32</v>
      </c>
      <c r="F1559" s="35" t="s">
        <v>349</v>
      </c>
      <c r="G1559" s="35">
        <v>0.66</v>
      </c>
    </row>
    <row r="1560" spans="1:7" x14ac:dyDescent="0.2">
      <c r="A1560" s="35" t="s">
        <v>52</v>
      </c>
      <c r="B1560" s="35" t="s">
        <v>221</v>
      </c>
      <c r="C1560" s="35" t="s">
        <v>65</v>
      </c>
      <c r="D1560" s="35" t="s">
        <v>225</v>
      </c>
      <c r="E1560" s="35">
        <v>32</v>
      </c>
      <c r="F1560" s="35" t="s">
        <v>349</v>
      </c>
      <c r="G1560" s="35">
        <v>0.69</v>
      </c>
    </row>
    <row r="1561" spans="1:7" x14ac:dyDescent="0.2">
      <c r="A1561" s="35" t="s">
        <v>52</v>
      </c>
      <c r="B1561" s="35" t="s">
        <v>221</v>
      </c>
      <c r="C1561" s="35" t="s">
        <v>223</v>
      </c>
      <c r="D1561" s="35" t="s">
        <v>226</v>
      </c>
      <c r="E1561" s="35">
        <v>32</v>
      </c>
      <c r="F1561" s="35" t="s">
        <v>349</v>
      </c>
      <c r="G1561" s="35">
        <v>0.66</v>
      </c>
    </row>
    <row r="1562" spans="1:7" x14ac:dyDescent="0.2">
      <c r="A1562" s="35" t="s">
        <v>75</v>
      </c>
      <c r="B1562" s="35" t="s">
        <v>75</v>
      </c>
      <c r="C1562" s="35" t="s">
        <v>65</v>
      </c>
      <c r="D1562" s="35" t="s">
        <v>233</v>
      </c>
      <c r="E1562" s="35">
        <v>33</v>
      </c>
      <c r="F1562" s="35" t="s">
        <v>349</v>
      </c>
      <c r="G1562" s="35">
        <v>0.64</v>
      </c>
    </row>
    <row r="1563" spans="1:7" x14ac:dyDescent="0.2">
      <c r="A1563" s="35" t="s">
        <v>75</v>
      </c>
      <c r="B1563" s="35" t="s">
        <v>75</v>
      </c>
      <c r="C1563" s="35" t="s">
        <v>65</v>
      </c>
      <c r="D1563" s="35" t="s">
        <v>227</v>
      </c>
      <c r="E1563" s="35">
        <v>33</v>
      </c>
      <c r="F1563" s="35" t="s">
        <v>349</v>
      </c>
      <c r="G1563" s="35">
        <v>0.65</v>
      </c>
    </row>
    <row r="1564" spans="1:7" x14ac:dyDescent="0.2">
      <c r="A1564" s="35" t="s">
        <v>75</v>
      </c>
      <c r="B1564" s="35" t="s">
        <v>75</v>
      </c>
      <c r="C1564" s="35" t="s">
        <v>65</v>
      </c>
      <c r="D1564" s="35" t="s">
        <v>228</v>
      </c>
      <c r="E1564" s="35">
        <v>33</v>
      </c>
      <c r="F1564" s="35" t="s">
        <v>349</v>
      </c>
      <c r="G1564" s="35">
        <v>0.65</v>
      </c>
    </row>
    <row r="1565" spans="1:7" x14ac:dyDescent="0.2">
      <c r="A1565" s="35" t="s">
        <v>75</v>
      </c>
      <c r="B1565" s="35" t="s">
        <v>75</v>
      </c>
      <c r="C1565" s="35" t="s">
        <v>65</v>
      </c>
      <c r="D1565" s="35" t="s">
        <v>229</v>
      </c>
      <c r="E1565" s="35">
        <v>33</v>
      </c>
      <c r="F1565" s="35" t="s">
        <v>349</v>
      </c>
      <c r="G1565" s="35">
        <v>0.65</v>
      </c>
    </row>
    <row r="1566" spans="1:7" x14ac:dyDescent="0.2">
      <c r="A1566" s="35" t="s">
        <v>75</v>
      </c>
      <c r="B1566" s="35" t="s">
        <v>75</v>
      </c>
      <c r="C1566" s="35" t="s">
        <v>65</v>
      </c>
      <c r="D1566" s="35" t="s">
        <v>234</v>
      </c>
      <c r="E1566" s="35">
        <v>33</v>
      </c>
      <c r="F1566" s="35" t="s">
        <v>349</v>
      </c>
      <c r="G1566" s="35">
        <v>0.65</v>
      </c>
    </row>
    <row r="1567" spans="1:7" x14ac:dyDescent="0.2">
      <c r="A1567" s="35" t="s">
        <v>75</v>
      </c>
      <c r="B1567" s="35" t="s">
        <v>75</v>
      </c>
      <c r="C1567" s="35" t="s">
        <v>223</v>
      </c>
      <c r="D1567" s="35" t="s">
        <v>230</v>
      </c>
      <c r="E1567" s="35">
        <v>33</v>
      </c>
      <c r="F1567" s="35" t="s">
        <v>349</v>
      </c>
      <c r="G1567" s="35">
        <v>0.63</v>
      </c>
    </row>
    <row r="1568" spans="1:7" x14ac:dyDescent="0.2">
      <c r="A1568" s="35" t="s">
        <v>75</v>
      </c>
      <c r="B1568" s="35" t="s">
        <v>75</v>
      </c>
      <c r="C1568" s="35" t="s">
        <v>223</v>
      </c>
      <c r="D1568" s="35" t="s">
        <v>231</v>
      </c>
      <c r="E1568" s="35">
        <v>33</v>
      </c>
      <c r="F1568" s="35" t="s">
        <v>349</v>
      </c>
      <c r="G1568" s="35">
        <v>0.65</v>
      </c>
    </row>
    <row r="1569" spans="1:7" x14ac:dyDescent="0.2">
      <c r="A1569" s="35" t="s">
        <v>75</v>
      </c>
      <c r="B1569" s="35" t="s">
        <v>75</v>
      </c>
      <c r="C1569" s="35" t="s">
        <v>223</v>
      </c>
      <c r="D1569" s="35" t="s">
        <v>235</v>
      </c>
      <c r="E1569" s="35">
        <v>33</v>
      </c>
      <c r="F1569" s="35" t="s">
        <v>349</v>
      </c>
      <c r="G1569" s="35">
        <v>0.64</v>
      </c>
    </row>
    <row r="1570" spans="1:7" x14ac:dyDescent="0.2">
      <c r="A1570" s="35" t="s">
        <v>75</v>
      </c>
      <c r="B1570" s="35" t="s">
        <v>75</v>
      </c>
      <c r="C1570" s="35" t="s">
        <v>223</v>
      </c>
      <c r="D1570" s="35" t="s">
        <v>232</v>
      </c>
      <c r="E1570" s="35">
        <v>33</v>
      </c>
      <c r="F1570" s="35" t="s">
        <v>349</v>
      </c>
      <c r="G1570" s="35">
        <v>0.66</v>
      </c>
    </row>
    <row r="1571" spans="1:7" x14ac:dyDescent="0.2">
      <c r="A1571" s="35" t="s">
        <v>75</v>
      </c>
      <c r="B1571" s="35" t="s">
        <v>75</v>
      </c>
      <c r="C1571" s="35" t="s">
        <v>223</v>
      </c>
      <c r="D1571" s="35" t="s">
        <v>236</v>
      </c>
      <c r="E1571" s="35">
        <v>33</v>
      </c>
      <c r="F1571" s="35" t="s">
        <v>349</v>
      </c>
      <c r="G1571" s="35">
        <v>0.64</v>
      </c>
    </row>
    <row r="1572" spans="1:7" x14ac:dyDescent="0.2">
      <c r="A1572" s="35" t="s">
        <v>75</v>
      </c>
      <c r="B1572" s="35" t="s">
        <v>221</v>
      </c>
      <c r="C1572" s="35" t="s">
        <v>65</v>
      </c>
      <c r="D1572" s="35" t="s">
        <v>222</v>
      </c>
      <c r="E1572" s="35">
        <v>33</v>
      </c>
      <c r="F1572" s="35" t="s">
        <v>349</v>
      </c>
      <c r="G1572" s="35">
        <v>0.66</v>
      </c>
    </row>
    <row r="1573" spans="1:7" x14ac:dyDescent="0.2">
      <c r="A1573" s="35" t="s">
        <v>75</v>
      </c>
      <c r="B1573" s="35" t="s">
        <v>221</v>
      </c>
      <c r="C1573" s="35" t="s">
        <v>223</v>
      </c>
      <c r="D1573" s="35" t="s">
        <v>224</v>
      </c>
      <c r="E1573" s="35">
        <v>33</v>
      </c>
      <c r="F1573" s="35" t="s">
        <v>349</v>
      </c>
      <c r="G1573" s="35">
        <v>0.66</v>
      </c>
    </row>
    <row r="1574" spans="1:7" x14ac:dyDescent="0.2">
      <c r="A1574" s="35" t="s">
        <v>52</v>
      </c>
      <c r="B1574" s="35" t="s">
        <v>52</v>
      </c>
      <c r="C1574" s="35" t="s">
        <v>65</v>
      </c>
      <c r="D1574" s="35" t="s">
        <v>237</v>
      </c>
      <c r="E1574" s="35">
        <v>33</v>
      </c>
      <c r="F1574" s="35" t="s">
        <v>349</v>
      </c>
      <c r="G1574" s="35">
        <v>0.65</v>
      </c>
    </row>
    <row r="1575" spans="1:7" x14ac:dyDescent="0.2">
      <c r="A1575" s="35" t="s">
        <v>52</v>
      </c>
      <c r="B1575" s="35" t="s">
        <v>52</v>
      </c>
      <c r="C1575" s="35" t="s">
        <v>65</v>
      </c>
      <c r="D1575" s="35" t="s">
        <v>238</v>
      </c>
      <c r="E1575" s="35">
        <v>33</v>
      </c>
      <c r="F1575" s="35" t="s">
        <v>349</v>
      </c>
      <c r="G1575" s="35">
        <v>0.66</v>
      </c>
    </row>
    <row r="1576" spans="1:7" x14ac:dyDescent="0.2">
      <c r="A1576" s="35" t="s">
        <v>52</v>
      </c>
      <c r="B1576" s="35" t="s">
        <v>52</v>
      </c>
      <c r="C1576" s="35" t="s">
        <v>65</v>
      </c>
      <c r="D1576" s="35" t="s">
        <v>239</v>
      </c>
      <c r="E1576" s="35">
        <v>33</v>
      </c>
      <c r="F1576" s="35" t="s">
        <v>349</v>
      </c>
      <c r="G1576" s="35">
        <v>0.66</v>
      </c>
    </row>
    <row r="1577" spans="1:7" x14ac:dyDescent="0.2">
      <c r="A1577" s="35" t="s">
        <v>52</v>
      </c>
      <c r="B1577" s="35" t="s">
        <v>52</v>
      </c>
      <c r="C1577" s="35" t="s">
        <v>65</v>
      </c>
      <c r="D1577" s="35" t="s">
        <v>240</v>
      </c>
      <c r="E1577" s="35">
        <v>33</v>
      </c>
      <c r="F1577" s="35" t="s">
        <v>349</v>
      </c>
      <c r="G1577" s="35">
        <v>0.64</v>
      </c>
    </row>
    <row r="1578" spans="1:7" x14ac:dyDescent="0.2">
      <c r="A1578" s="35" t="s">
        <v>52</v>
      </c>
      <c r="B1578" s="35" t="s">
        <v>52</v>
      </c>
      <c r="C1578" s="35" t="s">
        <v>65</v>
      </c>
      <c r="D1578" s="35" t="s">
        <v>245</v>
      </c>
      <c r="E1578" s="35">
        <v>33</v>
      </c>
      <c r="F1578" s="35" t="s">
        <v>349</v>
      </c>
      <c r="G1578" s="35">
        <v>0.66</v>
      </c>
    </row>
    <row r="1579" spans="1:7" x14ac:dyDescent="0.2">
      <c r="A1579" s="35" t="s">
        <v>52</v>
      </c>
      <c r="B1579" s="35" t="s">
        <v>52</v>
      </c>
      <c r="C1579" s="35" t="s">
        <v>223</v>
      </c>
      <c r="D1579" s="35" t="s">
        <v>241</v>
      </c>
      <c r="E1579" s="35">
        <v>33</v>
      </c>
      <c r="F1579" s="35" t="s">
        <v>349</v>
      </c>
      <c r="G1579" s="35">
        <v>0.66</v>
      </c>
    </row>
    <row r="1580" spans="1:7" x14ac:dyDescent="0.2">
      <c r="A1580" s="35" t="s">
        <v>52</v>
      </c>
      <c r="B1580" s="35" t="s">
        <v>52</v>
      </c>
      <c r="C1580" s="35" t="s">
        <v>223</v>
      </c>
      <c r="D1580" s="35" t="s">
        <v>246</v>
      </c>
      <c r="E1580" s="35">
        <v>33</v>
      </c>
      <c r="F1580" s="35" t="s">
        <v>349</v>
      </c>
      <c r="G1580" s="35">
        <v>0.63</v>
      </c>
    </row>
    <row r="1581" spans="1:7" x14ac:dyDescent="0.2">
      <c r="A1581" s="35" t="s">
        <v>52</v>
      </c>
      <c r="B1581" s="35" t="s">
        <v>52</v>
      </c>
      <c r="C1581" s="35" t="s">
        <v>223</v>
      </c>
      <c r="D1581" s="35" t="s">
        <v>242</v>
      </c>
      <c r="E1581" s="35">
        <v>33</v>
      </c>
      <c r="F1581" s="35" t="s">
        <v>349</v>
      </c>
      <c r="G1581" s="35">
        <v>0.65</v>
      </c>
    </row>
    <row r="1582" spans="1:7" x14ac:dyDescent="0.2">
      <c r="A1582" s="35" t="s">
        <v>52</v>
      </c>
      <c r="B1582" s="35" t="s">
        <v>52</v>
      </c>
      <c r="C1582" s="35" t="s">
        <v>223</v>
      </c>
      <c r="D1582" s="35" t="s">
        <v>243</v>
      </c>
      <c r="E1582" s="35">
        <v>33</v>
      </c>
      <c r="F1582" s="35" t="s">
        <v>349</v>
      </c>
      <c r="G1582" s="35">
        <v>0.62</v>
      </c>
    </row>
    <row r="1583" spans="1:7" x14ac:dyDescent="0.2">
      <c r="A1583" s="35" t="s">
        <v>52</v>
      </c>
      <c r="B1583" s="35" t="s">
        <v>52</v>
      </c>
      <c r="C1583" s="35" t="s">
        <v>223</v>
      </c>
      <c r="D1583" s="35" t="s">
        <v>244</v>
      </c>
      <c r="E1583" s="35">
        <v>33</v>
      </c>
      <c r="F1583" s="35" t="s">
        <v>349</v>
      </c>
      <c r="G1583" s="35">
        <v>0.65</v>
      </c>
    </row>
    <row r="1584" spans="1:7" x14ac:dyDescent="0.2">
      <c r="A1584" s="35" t="s">
        <v>52</v>
      </c>
      <c r="B1584" s="35" t="s">
        <v>221</v>
      </c>
      <c r="C1584" s="35" t="s">
        <v>65</v>
      </c>
      <c r="D1584" s="35" t="s">
        <v>225</v>
      </c>
      <c r="E1584" s="35">
        <v>33</v>
      </c>
      <c r="F1584" s="35" t="s">
        <v>349</v>
      </c>
      <c r="G1584" s="35">
        <v>0.66</v>
      </c>
    </row>
    <row r="1585" spans="1:7" x14ac:dyDescent="0.2">
      <c r="A1585" s="35" t="s">
        <v>52</v>
      </c>
      <c r="B1585" s="35" t="s">
        <v>221</v>
      </c>
      <c r="C1585" s="35" t="s">
        <v>223</v>
      </c>
      <c r="D1585" s="35" t="s">
        <v>226</v>
      </c>
      <c r="E1585" s="35">
        <v>33</v>
      </c>
      <c r="F1585" s="35" t="s">
        <v>349</v>
      </c>
      <c r="G1585" s="35">
        <v>0.66</v>
      </c>
    </row>
    <row r="1586" spans="1:7" x14ac:dyDescent="0.2">
      <c r="A1586" s="35" t="s">
        <v>75</v>
      </c>
      <c r="B1586" s="35" t="s">
        <v>75</v>
      </c>
      <c r="C1586" s="35" t="s">
        <v>65</v>
      </c>
      <c r="D1586" s="35" t="s">
        <v>233</v>
      </c>
      <c r="E1586" s="35">
        <v>36</v>
      </c>
      <c r="F1586" s="35" t="s">
        <v>349</v>
      </c>
      <c r="G1586" s="35">
        <v>0.65</v>
      </c>
    </row>
    <row r="1587" spans="1:7" x14ac:dyDescent="0.2">
      <c r="A1587" s="35" t="s">
        <v>75</v>
      </c>
      <c r="B1587" s="35" t="s">
        <v>75</v>
      </c>
      <c r="C1587" s="35" t="s">
        <v>65</v>
      </c>
      <c r="D1587" s="35" t="s">
        <v>227</v>
      </c>
      <c r="E1587" s="35">
        <v>36</v>
      </c>
      <c r="F1587" s="35" t="s">
        <v>349</v>
      </c>
      <c r="G1587" s="35">
        <v>0.65</v>
      </c>
    </row>
    <row r="1588" spans="1:7" x14ac:dyDescent="0.2">
      <c r="A1588" s="35" t="s">
        <v>75</v>
      </c>
      <c r="B1588" s="35" t="s">
        <v>75</v>
      </c>
      <c r="C1588" s="35" t="s">
        <v>65</v>
      </c>
      <c r="D1588" s="35" t="s">
        <v>228</v>
      </c>
      <c r="E1588" s="35">
        <v>36</v>
      </c>
      <c r="F1588" s="35" t="s">
        <v>349</v>
      </c>
      <c r="G1588" s="35">
        <v>0.66</v>
      </c>
    </row>
    <row r="1589" spans="1:7" x14ac:dyDescent="0.2">
      <c r="A1589" s="35" t="s">
        <v>75</v>
      </c>
      <c r="B1589" s="35" t="s">
        <v>75</v>
      </c>
      <c r="C1589" s="35" t="s">
        <v>65</v>
      </c>
      <c r="D1589" s="35" t="s">
        <v>229</v>
      </c>
      <c r="E1589" s="35">
        <v>36</v>
      </c>
      <c r="F1589" s="35" t="s">
        <v>349</v>
      </c>
      <c r="G1589" s="35">
        <v>0.65</v>
      </c>
    </row>
    <row r="1590" spans="1:7" x14ac:dyDescent="0.2">
      <c r="A1590" s="35" t="s">
        <v>75</v>
      </c>
      <c r="B1590" s="35" t="s">
        <v>75</v>
      </c>
      <c r="C1590" s="35" t="s">
        <v>65</v>
      </c>
      <c r="D1590" s="35" t="s">
        <v>234</v>
      </c>
      <c r="E1590" s="35">
        <v>36</v>
      </c>
      <c r="F1590" s="35" t="s">
        <v>349</v>
      </c>
      <c r="G1590" s="35">
        <v>0.66</v>
      </c>
    </row>
    <row r="1591" spans="1:7" x14ac:dyDescent="0.2">
      <c r="A1591" s="35" t="s">
        <v>75</v>
      </c>
      <c r="B1591" s="35" t="s">
        <v>75</v>
      </c>
      <c r="C1591" s="35" t="s">
        <v>223</v>
      </c>
      <c r="D1591" s="35" t="s">
        <v>230</v>
      </c>
      <c r="E1591" s="35">
        <v>36</v>
      </c>
      <c r="F1591" s="35" t="s">
        <v>349</v>
      </c>
      <c r="G1591" s="35">
        <v>0.64</v>
      </c>
    </row>
    <row r="1592" spans="1:7" x14ac:dyDescent="0.2">
      <c r="A1592" s="35" t="s">
        <v>75</v>
      </c>
      <c r="B1592" s="35" t="s">
        <v>75</v>
      </c>
      <c r="C1592" s="35" t="s">
        <v>223</v>
      </c>
      <c r="D1592" s="35" t="s">
        <v>231</v>
      </c>
      <c r="E1592" s="35">
        <v>36</v>
      </c>
      <c r="F1592" s="35" t="s">
        <v>349</v>
      </c>
      <c r="G1592" s="35">
        <v>0.66</v>
      </c>
    </row>
    <row r="1593" spans="1:7" x14ac:dyDescent="0.2">
      <c r="A1593" s="35" t="s">
        <v>75</v>
      </c>
      <c r="B1593" s="35" t="s">
        <v>75</v>
      </c>
      <c r="C1593" s="35" t="s">
        <v>223</v>
      </c>
      <c r="D1593" s="35" t="s">
        <v>235</v>
      </c>
      <c r="E1593" s="35">
        <v>36</v>
      </c>
      <c r="F1593" s="35" t="s">
        <v>349</v>
      </c>
      <c r="G1593" s="35">
        <v>0.65</v>
      </c>
    </row>
    <row r="1594" spans="1:7" x14ac:dyDescent="0.2">
      <c r="A1594" s="35" t="s">
        <v>75</v>
      </c>
      <c r="B1594" s="35" t="s">
        <v>75</v>
      </c>
      <c r="C1594" s="35" t="s">
        <v>223</v>
      </c>
      <c r="D1594" s="35" t="s">
        <v>232</v>
      </c>
      <c r="E1594" s="35">
        <v>36</v>
      </c>
      <c r="F1594" s="35" t="s">
        <v>349</v>
      </c>
      <c r="G1594" s="35">
        <v>0.67</v>
      </c>
    </row>
    <row r="1595" spans="1:7" x14ac:dyDescent="0.2">
      <c r="A1595" s="35" t="s">
        <v>75</v>
      </c>
      <c r="B1595" s="35" t="s">
        <v>75</v>
      </c>
      <c r="C1595" s="35" t="s">
        <v>223</v>
      </c>
      <c r="D1595" s="35" t="s">
        <v>236</v>
      </c>
      <c r="E1595" s="35">
        <v>36</v>
      </c>
      <c r="F1595" s="35" t="s">
        <v>349</v>
      </c>
      <c r="G1595" s="35">
        <v>0.67</v>
      </c>
    </row>
    <row r="1596" spans="1:7" x14ac:dyDescent="0.2">
      <c r="A1596" s="35" t="s">
        <v>75</v>
      </c>
      <c r="B1596" s="35" t="s">
        <v>221</v>
      </c>
      <c r="C1596" s="35" t="s">
        <v>65</v>
      </c>
      <c r="D1596" s="35" t="s">
        <v>222</v>
      </c>
      <c r="E1596" s="35">
        <v>36</v>
      </c>
      <c r="F1596" s="35" t="s">
        <v>349</v>
      </c>
      <c r="G1596" s="35">
        <v>0.67</v>
      </c>
    </row>
    <row r="1597" spans="1:7" x14ac:dyDescent="0.2">
      <c r="A1597" s="35" t="s">
        <v>75</v>
      </c>
      <c r="B1597" s="35" t="s">
        <v>221</v>
      </c>
      <c r="C1597" s="35" t="s">
        <v>223</v>
      </c>
      <c r="D1597" s="35" t="s">
        <v>224</v>
      </c>
      <c r="E1597" s="35">
        <v>36</v>
      </c>
      <c r="F1597" s="35" t="s">
        <v>349</v>
      </c>
      <c r="G1597" s="35">
        <v>0.66</v>
      </c>
    </row>
    <row r="1598" spans="1:7" x14ac:dyDescent="0.2">
      <c r="A1598" s="35" t="s">
        <v>52</v>
      </c>
      <c r="B1598" s="35" t="s">
        <v>52</v>
      </c>
      <c r="C1598" s="35" t="s">
        <v>65</v>
      </c>
      <c r="D1598" s="35" t="s">
        <v>237</v>
      </c>
      <c r="E1598" s="35">
        <v>36</v>
      </c>
      <c r="F1598" s="35" t="s">
        <v>349</v>
      </c>
      <c r="G1598" s="35">
        <v>0.66</v>
      </c>
    </row>
    <row r="1599" spans="1:7" x14ac:dyDescent="0.2">
      <c r="A1599" s="35" t="s">
        <v>52</v>
      </c>
      <c r="B1599" s="35" t="s">
        <v>52</v>
      </c>
      <c r="C1599" s="35" t="s">
        <v>65</v>
      </c>
      <c r="D1599" s="35" t="s">
        <v>238</v>
      </c>
      <c r="E1599" s="35">
        <v>36</v>
      </c>
      <c r="F1599" s="35" t="s">
        <v>349</v>
      </c>
      <c r="G1599" s="35">
        <v>0.65</v>
      </c>
    </row>
    <row r="1600" spans="1:7" x14ac:dyDescent="0.2">
      <c r="A1600" s="35" t="s">
        <v>52</v>
      </c>
      <c r="B1600" s="35" t="s">
        <v>52</v>
      </c>
      <c r="C1600" s="35" t="s">
        <v>65</v>
      </c>
      <c r="D1600" s="35" t="s">
        <v>239</v>
      </c>
      <c r="E1600" s="35">
        <v>36</v>
      </c>
      <c r="F1600" s="35" t="s">
        <v>349</v>
      </c>
      <c r="G1600" s="35">
        <v>0.65</v>
      </c>
    </row>
    <row r="1601" spans="1:7" x14ac:dyDescent="0.2">
      <c r="A1601" s="35" t="s">
        <v>52</v>
      </c>
      <c r="B1601" s="35" t="s">
        <v>52</v>
      </c>
      <c r="C1601" s="35" t="s">
        <v>65</v>
      </c>
      <c r="D1601" s="35" t="s">
        <v>240</v>
      </c>
      <c r="E1601" s="35">
        <v>36</v>
      </c>
      <c r="F1601" s="35" t="s">
        <v>349</v>
      </c>
      <c r="G1601" s="35">
        <v>0.65</v>
      </c>
    </row>
    <row r="1602" spans="1:7" x14ac:dyDescent="0.2">
      <c r="A1602" s="35" t="s">
        <v>52</v>
      </c>
      <c r="B1602" s="35" t="s">
        <v>52</v>
      </c>
      <c r="C1602" s="35" t="s">
        <v>65</v>
      </c>
      <c r="D1602" s="35" t="s">
        <v>245</v>
      </c>
      <c r="E1602" s="35">
        <v>36</v>
      </c>
      <c r="F1602" s="35" t="s">
        <v>349</v>
      </c>
      <c r="G1602" s="35">
        <v>0.65</v>
      </c>
    </row>
    <row r="1603" spans="1:7" x14ac:dyDescent="0.2">
      <c r="A1603" s="35" t="s">
        <v>52</v>
      </c>
      <c r="B1603" s="35" t="s">
        <v>52</v>
      </c>
      <c r="C1603" s="35" t="s">
        <v>223</v>
      </c>
      <c r="D1603" s="35" t="s">
        <v>241</v>
      </c>
      <c r="E1603" s="35">
        <v>36</v>
      </c>
      <c r="F1603" s="35" t="s">
        <v>349</v>
      </c>
      <c r="G1603" s="35">
        <v>0.67</v>
      </c>
    </row>
    <row r="1604" spans="1:7" x14ac:dyDescent="0.2">
      <c r="A1604" s="35" t="s">
        <v>52</v>
      </c>
      <c r="B1604" s="35" t="s">
        <v>52</v>
      </c>
      <c r="C1604" s="35" t="s">
        <v>223</v>
      </c>
      <c r="D1604" s="35" t="s">
        <v>246</v>
      </c>
      <c r="E1604" s="35">
        <v>36</v>
      </c>
      <c r="F1604" s="35" t="s">
        <v>349</v>
      </c>
      <c r="G1604" s="35">
        <v>0.63</v>
      </c>
    </row>
    <row r="1605" spans="1:7" x14ac:dyDescent="0.2">
      <c r="A1605" s="35" t="s">
        <v>52</v>
      </c>
      <c r="B1605" s="35" t="s">
        <v>52</v>
      </c>
      <c r="C1605" s="35" t="s">
        <v>223</v>
      </c>
      <c r="D1605" s="35" t="s">
        <v>242</v>
      </c>
      <c r="E1605" s="35">
        <v>36</v>
      </c>
      <c r="F1605" s="35" t="s">
        <v>349</v>
      </c>
      <c r="G1605" s="35">
        <v>0.6</v>
      </c>
    </row>
    <row r="1606" spans="1:7" x14ac:dyDescent="0.2">
      <c r="A1606" s="35" t="s">
        <v>52</v>
      </c>
      <c r="B1606" s="35" t="s">
        <v>52</v>
      </c>
      <c r="C1606" s="35" t="s">
        <v>223</v>
      </c>
      <c r="D1606" s="35" t="s">
        <v>243</v>
      </c>
      <c r="E1606" s="35">
        <v>36</v>
      </c>
      <c r="F1606" s="35" t="s">
        <v>349</v>
      </c>
      <c r="G1606" s="35">
        <v>0.52</v>
      </c>
    </row>
    <row r="1607" spans="1:7" x14ac:dyDescent="0.2">
      <c r="A1607" s="35" t="s">
        <v>52</v>
      </c>
      <c r="B1607" s="35" t="s">
        <v>52</v>
      </c>
      <c r="C1607" s="35" t="s">
        <v>223</v>
      </c>
      <c r="D1607" s="35" t="s">
        <v>244</v>
      </c>
      <c r="E1607" s="35">
        <v>36</v>
      </c>
      <c r="F1607" s="35" t="s">
        <v>349</v>
      </c>
      <c r="G1607" s="35">
        <v>0.54</v>
      </c>
    </row>
    <row r="1608" spans="1:7" x14ac:dyDescent="0.2">
      <c r="A1608" s="35" t="s">
        <v>52</v>
      </c>
      <c r="B1608" s="35" t="s">
        <v>221</v>
      </c>
      <c r="C1608" s="35" t="s">
        <v>65</v>
      </c>
      <c r="D1608" s="35" t="s">
        <v>225</v>
      </c>
      <c r="E1608" s="35">
        <v>36</v>
      </c>
      <c r="F1608" s="35" t="s">
        <v>349</v>
      </c>
      <c r="G1608" s="35">
        <v>0.62</v>
      </c>
    </row>
    <row r="1609" spans="1:7" x14ac:dyDescent="0.2">
      <c r="A1609" s="35" t="s">
        <v>52</v>
      </c>
      <c r="B1609" s="35" t="s">
        <v>221</v>
      </c>
      <c r="C1609" s="35" t="s">
        <v>223</v>
      </c>
      <c r="D1609" s="35" t="s">
        <v>226</v>
      </c>
      <c r="E1609" s="35">
        <v>36</v>
      </c>
      <c r="F1609" s="35" t="s">
        <v>349</v>
      </c>
      <c r="G1609" s="35">
        <v>0.65</v>
      </c>
    </row>
    <row r="1610" spans="1:7" x14ac:dyDescent="0.2">
      <c r="A1610" s="35" t="s">
        <v>75</v>
      </c>
      <c r="B1610" s="35" t="s">
        <v>75</v>
      </c>
      <c r="C1610" s="35" t="s">
        <v>65</v>
      </c>
      <c r="D1610" s="35" t="s">
        <v>233</v>
      </c>
      <c r="E1610" s="35">
        <v>39</v>
      </c>
      <c r="F1610" s="35" t="s">
        <v>349</v>
      </c>
      <c r="G1610" s="35">
        <v>0.64</v>
      </c>
    </row>
    <row r="1611" spans="1:7" x14ac:dyDescent="0.2">
      <c r="A1611" s="35" t="s">
        <v>75</v>
      </c>
      <c r="B1611" s="35" t="s">
        <v>75</v>
      </c>
      <c r="C1611" s="35" t="s">
        <v>65</v>
      </c>
      <c r="D1611" s="35" t="s">
        <v>227</v>
      </c>
      <c r="E1611" s="35">
        <v>39</v>
      </c>
      <c r="F1611" s="35" t="s">
        <v>349</v>
      </c>
      <c r="G1611" s="35">
        <v>0.63</v>
      </c>
    </row>
    <row r="1612" spans="1:7" x14ac:dyDescent="0.2">
      <c r="A1612" s="35" t="s">
        <v>75</v>
      </c>
      <c r="B1612" s="35" t="s">
        <v>75</v>
      </c>
      <c r="C1612" s="35" t="s">
        <v>65</v>
      </c>
      <c r="D1612" s="35" t="s">
        <v>228</v>
      </c>
      <c r="E1612" s="35">
        <v>39</v>
      </c>
      <c r="F1612" s="35" t="s">
        <v>349</v>
      </c>
      <c r="G1612" s="35">
        <v>0.65</v>
      </c>
    </row>
    <row r="1613" spans="1:7" x14ac:dyDescent="0.2">
      <c r="A1613" s="35" t="s">
        <v>75</v>
      </c>
      <c r="B1613" s="35" t="s">
        <v>75</v>
      </c>
      <c r="C1613" s="35" t="s">
        <v>65</v>
      </c>
      <c r="D1613" s="35" t="s">
        <v>229</v>
      </c>
      <c r="E1613" s="35">
        <v>39</v>
      </c>
      <c r="F1613" s="35" t="s">
        <v>349</v>
      </c>
      <c r="G1613" s="35">
        <v>0.65</v>
      </c>
    </row>
    <row r="1614" spans="1:7" x14ac:dyDescent="0.2">
      <c r="A1614" s="35" t="s">
        <v>75</v>
      </c>
      <c r="B1614" s="35" t="s">
        <v>75</v>
      </c>
      <c r="C1614" s="35" t="s">
        <v>65</v>
      </c>
      <c r="D1614" s="35" t="s">
        <v>234</v>
      </c>
      <c r="E1614" s="35">
        <v>39</v>
      </c>
      <c r="F1614" s="35" t="s">
        <v>349</v>
      </c>
      <c r="G1614" s="35">
        <v>0.66</v>
      </c>
    </row>
    <row r="1615" spans="1:7" x14ac:dyDescent="0.2">
      <c r="A1615" s="35" t="s">
        <v>75</v>
      </c>
      <c r="B1615" s="35" t="s">
        <v>75</v>
      </c>
      <c r="C1615" s="35" t="s">
        <v>223</v>
      </c>
      <c r="D1615" s="35" t="s">
        <v>230</v>
      </c>
      <c r="E1615" s="35">
        <v>39</v>
      </c>
      <c r="F1615" s="35" t="s">
        <v>349</v>
      </c>
      <c r="G1615" s="35">
        <v>0.63</v>
      </c>
    </row>
    <row r="1616" spans="1:7" x14ac:dyDescent="0.2">
      <c r="A1616" s="35" t="s">
        <v>75</v>
      </c>
      <c r="B1616" s="35" t="s">
        <v>75</v>
      </c>
      <c r="C1616" s="35" t="s">
        <v>223</v>
      </c>
      <c r="D1616" s="35" t="s">
        <v>231</v>
      </c>
      <c r="E1616" s="35">
        <v>39</v>
      </c>
      <c r="F1616" s="35" t="s">
        <v>349</v>
      </c>
      <c r="G1616" s="35">
        <v>0.65</v>
      </c>
    </row>
    <row r="1617" spans="1:7" x14ac:dyDescent="0.2">
      <c r="A1617" s="35" t="s">
        <v>75</v>
      </c>
      <c r="B1617" s="35" t="s">
        <v>75</v>
      </c>
      <c r="C1617" s="35" t="s">
        <v>223</v>
      </c>
      <c r="D1617" s="35" t="s">
        <v>235</v>
      </c>
      <c r="E1617" s="35">
        <v>39</v>
      </c>
      <c r="F1617" s="35" t="s">
        <v>349</v>
      </c>
      <c r="G1617" s="35">
        <v>0.63</v>
      </c>
    </row>
    <row r="1618" spans="1:7" x14ac:dyDescent="0.2">
      <c r="A1618" s="35" t="s">
        <v>75</v>
      </c>
      <c r="B1618" s="35" t="s">
        <v>75</v>
      </c>
      <c r="C1618" s="35" t="s">
        <v>223</v>
      </c>
      <c r="D1618" s="35" t="s">
        <v>232</v>
      </c>
      <c r="E1618" s="35">
        <v>39</v>
      </c>
      <c r="F1618" s="35" t="s">
        <v>349</v>
      </c>
      <c r="G1618" s="35">
        <v>0.66</v>
      </c>
    </row>
    <row r="1619" spans="1:7" x14ac:dyDescent="0.2">
      <c r="A1619" s="35" t="s">
        <v>75</v>
      </c>
      <c r="B1619" s="35" t="s">
        <v>75</v>
      </c>
      <c r="C1619" s="35" t="s">
        <v>223</v>
      </c>
      <c r="D1619" s="35" t="s">
        <v>236</v>
      </c>
      <c r="E1619" s="35">
        <v>39</v>
      </c>
      <c r="F1619" s="35" t="s">
        <v>349</v>
      </c>
      <c r="G1619" s="35">
        <v>0.64</v>
      </c>
    </row>
    <row r="1620" spans="1:7" x14ac:dyDescent="0.2">
      <c r="A1620" s="35" t="s">
        <v>75</v>
      </c>
      <c r="B1620" s="35" t="s">
        <v>221</v>
      </c>
      <c r="C1620" s="35" t="s">
        <v>65</v>
      </c>
      <c r="D1620" s="35" t="s">
        <v>222</v>
      </c>
      <c r="E1620" s="35">
        <v>39</v>
      </c>
      <c r="F1620" s="35" t="s">
        <v>349</v>
      </c>
      <c r="G1620" s="35">
        <v>0.65</v>
      </c>
    </row>
    <row r="1621" spans="1:7" x14ac:dyDescent="0.2">
      <c r="A1621" s="35" t="s">
        <v>75</v>
      </c>
      <c r="B1621" s="35" t="s">
        <v>221</v>
      </c>
      <c r="C1621" s="35" t="s">
        <v>223</v>
      </c>
      <c r="D1621" s="35" t="s">
        <v>224</v>
      </c>
      <c r="E1621" s="35">
        <v>39</v>
      </c>
      <c r="F1621" s="35" t="s">
        <v>349</v>
      </c>
      <c r="G1621" s="35">
        <v>0.66</v>
      </c>
    </row>
    <row r="1622" spans="1:7" x14ac:dyDescent="0.2">
      <c r="A1622" s="35" t="s">
        <v>52</v>
      </c>
      <c r="B1622" s="35" t="s">
        <v>52</v>
      </c>
      <c r="C1622" s="35" t="s">
        <v>65</v>
      </c>
      <c r="D1622" s="35" t="s">
        <v>237</v>
      </c>
      <c r="E1622" s="35">
        <v>39</v>
      </c>
      <c r="F1622" s="35" t="s">
        <v>349</v>
      </c>
      <c r="G1622" s="35">
        <v>0.67</v>
      </c>
    </row>
    <row r="1623" spans="1:7" x14ac:dyDescent="0.2">
      <c r="A1623" s="35" t="s">
        <v>52</v>
      </c>
      <c r="B1623" s="35" t="s">
        <v>52</v>
      </c>
      <c r="C1623" s="35" t="s">
        <v>65</v>
      </c>
      <c r="D1623" s="35" t="s">
        <v>238</v>
      </c>
      <c r="E1623" s="35">
        <v>39</v>
      </c>
      <c r="F1623" s="35" t="s">
        <v>349</v>
      </c>
      <c r="G1623" s="35">
        <v>0.64</v>
      </c>
    </row>
    <row r="1624" spans="1:7" x14ac:dyDescent="0.2">
      <c r="A1624" s="35" t="s">
        <v>52</v>
      </c>
      <c r="B1624" s="35" t="s">
        <v>52</v>
      </c>
      <c r="C1624" s="35" t="s">
        <v>65</v>
      </c>
      <c r="D1624" s="35" t="s">
        <v>239</v>
      </c>
      <c r="E1624" s="35">
        <v>39</v>
      </c>
      <c r="F1624" s="35" t="s">
        <v>349</v>
      </c>
      <c r="G1624" s="35">
        <v>0.67</v>
      </c>
    </row>
    <row r="1625" spans="1:7" x14ac:dyDescent="0.2">
      <c r="A1625" s="35" t="s">
        <v>52</v>
      </c>
      <c r="B1625" s="35" t="s">
        <v>52</v>
      </c>
      <c r="C1625" s="35" t="s">
        <v>65</v>
      </c>
      <c r="D1625" s="35" t="s">
        <v>240</v>
      </c>
      <c r="E1625" s="35">
        <v>39</v>
      </c>
      <c r="F1625" s="35" t="s">
        <v>349</v>
      </c>
      <c r="G1625" s="35">
        <v>0.64</v>
      </c>
    </row>
    <row r="1626" spans="1:7" x14ac:dyDescent="0.2">
      <c r="A1626" s="35" t="s">
        <v>52</v>
      </c>
      <c r="B1626" s="35" t="s">
        <v>52</v>
      </c>
      <c r="C1626" s="35" t="s">
        <v>65</v>
      </c>
      <c r="D1626" s="35" t="s">
        <v>245</v>
      </c>
      <c r="E1626" s="35">
        <v>39</v>
      </c>
      <c r="F1626" s="35" t="s">
        <v>349</v>
      </c>
      <c r="G1626" s="35">
        <v>0.67</v>
      </c>
    </row>
    <row r="1627" spans="1:7" x14ac:dyDescent="0.2">
      <c r="A1627" s="35" t="s">
        <v>52</v>
      </c>
      <c r="B1627" s="35" t="s">
        <v>52</v>
      </c>
      <c r="C1627" s="35" t="s">
        <v>223</v>
      </c>
      <c r="D1627" s="35" t="s">
        <v>241</v>
      </c>
      <c r="E1627" s="35">
        <v>39</v>
      </c>
      <c r="F1627" s="35" t="s">
        <v>349</v>
      </c>
      <c r="G1627" s="35">
        <v>0.65</v>
      </c>
    </row>
    <row r="1628" spans="1:7" x14ac:dyDescent="0.2">
      <c r="A1628" s="35" t="s">
        <v>52</v>
      </c>
      <c r="B1628" s="35" t="s">
        <v>52</v>
      </c>
      <c r="C1628" s="35" t="s">
        <v>223</v>
      </c>
      <c r="D1628" s="35" t="s">
        <v>246</v>
      </c>
      <c r="E1628" s="35">
        <v>39</v>
      </c>
      <c r="F1628" s="35" t="s">
        <v>349</v>
      </c>
      <c r="G1628" s="35">
        <v>0.61</v>
      </c>
    </row>
    <row r="1629" spans="1:7" x14ac:dyDescent="0.2">
      <c r="A1629" s="35" t="s">
        <v>52</v>
      </c>
      <c r="B1629" s="35" t="s">
        <v>52</v>
      </c>
      <c r="C1629" s="35" t="s">
        <v>223</v>
      </c>
      <c r="D1629" s="35" t="s">
        <v>242</v>
      </c>
      <c r="E1629" s="35">
        <v>39</v>
      </c>
      <c r="F1629" s="35" t="s">
        <v>349</v>
      </c>
      <c r="G1629" s="35">
        <v>0.63</v>
      </c>
    </row>
    <row r="1630" spans="1:7" x14ac:dyDescent="0.2">
      <c r="A1630" s="35" t="s">
        <v>52</v>
      </c>
      <c r="B1630" s="35" t="s">
        <v>52</v>
      </c>
      <c r="C1630" s="35" t="s">
        <v>223</v>
      </c>
      <c r="D1630" s="35" t="s">
        <v>243</v>
      </c>
      <c r="E1630" s="35">
        <v>39</v>
      </c>
      <c r="F1630" s="35" t="s">
        <v>349</v>
      </c>
      <c r="G1630" s="35">
        <v>0.65</v>
      </c>
    </row>
    <row r="1631" spans="1:7" x14ac:dyDescent="0.2">
      <c r="A1631" s="35" t="s">
        <v>52</v>
      </c>
      <c r="B1631" s="35" t="s">
        <v>52</v>
      </c>
      <c r="C1631" s="35" t="s">
        <v>223</v>
      </c>
      <c r="D1631" s="35" t="s">
        <v>244</v>
      </c>
      <c r="E1631" s="35">
        <v>39</v>
      </c>
      <c r="F1631" s="35" t="s">
        <v>349</v>
      </c>
      <c r="G1631" s="35">
        <v>0.65</v>
      </c>
    </row>
    <row r="1632" spans="1:7" x14ac:dyDescent="0.2">
      <c r="A1632" s="35" t="s">
        <v>52</v>
      </c>
      <c r="B1632" s="35" t="s">
        <v>221</v>
      </c>
      <c r="C1632" s="35" t="s">
        <v>65</v>
      </c>
      <c r="D1632" s="35" t="s">
        <v>225</v>
      </c>
      <c r="E1632" s="35">
        <v>39</v>
      </c>
      <c r="F1632" s="35" t="s">
        <v>349</v>
      </c>
      <c r="G1632" s="35">
        <v>0.65</v>
      </c>
    </row>
    <row r="1633" spans="1:7" x14ac:dyDescent="0.2">
      <c r="A1633" s="35" t="s">
        <v>52</v>
      </c>
      <c r="B1633" s="35" t="s">
        <v>221</v>
      </c>
      <c r="C1633" s="35" t="s">
        <v>223</v>
      </c>
      <c r="D1633" s="35" t="s">
        <v>226</v>
      </c>
      <c r="E1633" s="35">
        <v>39</v>
      </c>
      <c r="F1633" s="35" t="s">
        <v>349</v>
      </c>
      <c r="G1633" s="35">
        <v>0.67</v>
      </c>
    </row>
    <row r="1634" spans="1:7" x14ac:dyDescent="0.2">
      <c r="A1634" s="35" t="s">
        <v>75</v>
      </c>
      <c r="B1634" s="35" t="s">
        <v>75</v>
      </c>
      <c r="C1634" s="35" t="s">
        <v>65</v>
      </c>
      <c r="D1634" s="35" t="s">
        <v>233</v>
      </c>
      <c r="E1634" s="35">
        <v>42</v>
      </c>
      <c r="F1634" s="35" t="s">
        <v>349</v>
      </c>
      <c r="G1634" s="35">
        <v>0.64</v>
      </c>
    </row>
    <row r="1635" spans="1:7" x14ac:dyDescent="0.2">
      <c r="A1635" s="35" t="s">
        <v>75</v>
      </c>
      <c r="B1635" s="35" t="s">
        <v>75</v>
      </c>
      <c r="C1635" s="35" t="s">
        <v>65</v>
      </c>
      <c r="D1635" s="35" t="s">
        <v>227</v>
      </c>
      <c r="E1635" s="35">
        <v>42</v>
      </c>
      <c r="F1635" s="35" t="s">
        <v>349</v>
      </c>
      <c r="G1635" s="35">
        <v>0.64</v>
      </c>
    </row>
    <row r="1636" spans="1:7" x14ac:dyDescent="0.2">
      <c r="A1636" s="35" t="s">
        <v>75</v>
      </c>
      <c r="B1636" s="35" t="s">
        <v>75</v>
      </c>
      <c r="C1636" s="35" t="s">
        <v>65</v>
      </c>
      <c r="D1636" s="35" t="s">
        <v>228</v>
      </c>
      <c r="E1636" s="35">
        <v>42</v>
      </c>
      <c r="F1636" s="35" t="s">
        <v>349</v>
      </c>
      <c r="G1636" s="35">
        <v>0.65</v>
      </c>
    </row>
    <row r="1637" spans="1:7" x14ac:dyDescent="0.2">
      <c r="A1637" s="35" t="s">
        <v>75</v>
      </c>
      <c r="B1637" s="35" t="s">
        <v>75</v>
      </c>
      <c r="C1637" s="35" t="s">
        <v>65</v>
      </c>
      <c r="D1637" s="35" t="s">
        <v>229</v>
      </c>
      <c r="E1637" s="35">
        <v>42</v>
      </c>
      <c r="F1637" s="35" t="s">
        <v>349</v>
      </c>
      <c r="G1637" s="35">
        <v>0.65</v>
      </c>
    </row>
    <row r="1638" spans="1:7" x14ac:dyDescent="0.2">
      <c r="A1638" s="35" t="s">
        <v>75</v>
      </c>
      <c r="B1638" s="35" t="s">
        <v>75</v>
      </c>
      <c r="C1638" s="35" t="s">
        <v>65</v>
      </c>
      <c r="D1638" s="35" t="s">
        <v>234</v>
      </c>
      <c r="E1638" s="35">
        <v>42</v>
      </c>
      <c r="F1638" s="35" t="s">
        <v>349</v>
      </c>
      <c r="G1638" s="35">
        <v>0.65</v>
      </c>
    </row>
    <row r="1639" spans="1:7" x14ac:dyDescent="0.2">
      <c r="A1639" s="35" t="s">
        <v>75</v>
      </c>
      <c r="B1639" s="35" t="s">
        <v>75</v>
      </c>
      <c r="C1639" s="35" t="s">
        <v>223</v>
      </c>
      <c r="D1639" s="35" t="s">
        <v>230</v>
      </c>
      <c r="E1639" s="35">
        <v>42</v>
      </c>
      <c r="F1639" s="35" t="s">
        <v>349</v>
      </c>
      <c r="G1639" s="35">
        <v>0.63</v>
      </c>
    </row>
    <row r="1640" spans="1:7" x14ac:dyDescent="0.2">
      <c r="A1640" s="35" t="s">
        <v>75</v>
      </c>
      <c r="B1640" s="35" t="s">
        <v>75</v>
      </c>
      <c r="C1640" s="35" t="s">
        <v>223</v>
      </c>
      <c r="D1640" s="35" t="s">
        <v>231</v>
      </c>
      <c r="E1640" s="35">
        <v>42</v>
      </c>
      <c r="F1640" s="35" t="s">
        <v>349</v>
      </c>
      <c r="G1640" s="35">
        <v>0.65</v>
      </c>
    </row>
    <row r="1641" spans="1:7" x14ac:dyDescent="0.2">
      <c r="A1641" s="35" t="s">
        <v>75</v>
      </c>
      <c r="B1641" s="35" t="s">
        <v>75</v>
      </c>
      <c r="C1641" s="35" t="s">
        <v>223</v>
      </c>
      <c r="D1641" s="35" t="s">
        <v>235</v>
      </c>
      <c r="E1641" s="35">
        <v>42</v>
      </c>
      <c r="F1641" s="35" t="s">
        <v>349</v>
      </c>
      <c r="G1641" s="35">
        <v>0.62</v>
      </c>
    </row>
    <row r="1642" spans="1:7" x14ac:dyDescent="0.2">
      <c r="A1642" s="35" t="s">
        <v>75</v>
      </c>
      <c r="B1642" s="35" t="s">
        <v>75</v>
      </c>
      <c r="C1642" s="35" t="s">
        <v>223</v>
      </c>
      <c r="D1642" s="35" t="s">
        <v>232</v>
      </c>
      <c r="E1642" s="35">
        <v>42</v>
      </c>
      <c r="F1642" s="35" t="s">
        <v>349</v>
      </c>
      <c r="G1642" s="35">
        <v>0.65</v>
      </c>
    </row>
    <row r="1643" spans="1:7" x14ac:dyDescent="0.2">
      <c r="A1643" s="35" t="s">
        <v>75</v>
      </c>
      <c r="B1643" s="35" t="s">
        <v>75</v>
      </c>
      <c r="C1643" s="35" t="s">
        <v>223</v>
      </c>
      <c r="D1643" s="35" t="s">
        <v>236</v>
      </c>
      <c r="E1643" s="35">
        <v>42</v>
      </c>
      <c r="F1643" s="35" t="s">
        <v>349</v>
      </c>
      <c r="G1643" s="35">
        <v>0.64</v>
      </c>
    </row>
    <row r="1644" spans="1:7" x14ac:dyDescent="0.2">
      <c r="A1644" s="35" t="s">
        <v>75</v>
      </c>
      <c r="B1644" s="35" t="s">
        <v>221</v>
      </c>
      <c r="C1644" s="35" t="s">
        <v>65</v>
      </c>
      <c r="D1644" s="35" t="s">
        <v>222</v>
      </c>
      <c r="E1644" s="35">
        <v>42</v>
      </c>
      <c r="F1644" s="35" t="s">
        <v>349</v>
      </c>
      <c r="G1644" s="35">
        <v>0.66</v>
      </c>
    </row>
    <row r="1645" spans="1:7" x14ac:dyDescent="0.2">
      <c r="A1645" s="35" t="s">
        <v>75</v>
      </c>
      <c r="B1645" s="35" t="s">
        <v>221</v>
      </c>
      <c r="C1645" s="35" t="s">
        <v>223</v>
      </c>
      <c r="D1645" s="35" t="s">
        <v>224</v>
      </c>
      <c r="E1645" s="35">
        <v>42</v>
      </c>
      <c r="F1645" s="35" t="s">
        <v>349</v>
      </c>
      <c r="G1645" s="35">
        <v>0.66</v>
      </c>
    </row>
    <row r="1646" spans="1:7" x14ac:dyDescent="0.2">
      <c r="A1646" s="35" t="s">
        <v>52</v>
      </c>
      <c r="B1646" s="35" t="s">
        <v>52</v>
      </c>
      <c r="C1646" s="35" t="s">
        <v>65</v>
      </c>
      <c r="D1646" s="35" t="s">
        <v>237</v>
      </c>
      <c r="E1646" s="35">
        <v>42</v>
      </c>
      <c r="F1646" s="35" t="s">
        <v>349</v>
      </c>
      <c r="G1646" s="35">
        <v>0.66</v>
      </c>
    </row>
    <row r="1647" spans="1:7" x14ac:dyDescent="0.2">
      <c r="A1647" s="35" t="s">
        <v>52</v>
      </c>
      <c r="B1647" s="35" t="s">
        <v>52</v>
      </c>
      <c r="C1647" s="35" t="s">
        <v>65</v>
      </c>
      <c r="D1647" s="35" t="s">
        <v>238</v>
      </c>
      <c r="E1647" s="35">
        <v>42</v>
      </c>
      <c r="F1647" s="35" t="s">
        <v>349</v>
      </c>
      <c r="G1647" s="35">
        <v>0.66</v>
      </c>
    </row>
    <row r="1648" spans="1:7" x14ac:dyDescent="0.2">
      <c r="A1648" s="35" t="s">
        <v>52</v>
      </c>
      <c r="B1648" s="35" t="s">
        <v>52</v>
      </c>
      <c r="C1648" s="35" t="s">
        <v>65</v>
      </c>
      <c r="D1648" s="35" t="s">
        <v>239</v>
      </c>
      <c r="E1648" s="35">
        <v>42</v>
      </c>
      <c r="F1648" s="35" t="s">
        <v>349</v>
      </c>
      <c r="G1648" s="35">
        <v>0.65</v>
      </c>
    </row>
    <row r="1649" spans="1:7" x14ac:dyDescent="0.2">
      <c r="A1649" s="35" t="s">
        <v>52</v>
      </c>
      <c r="B1649" s="35" t="s">
        <v>52</v>
      </c>
      <c r="C1649" s="35" t="s">
        <v>65</v>
      </c>
      <c r="D1649" s="35" t="s">
        <v>240</v>
      </c>
      <c r="E1649" s="35">
        <v>42</v>
      </c>
      <c r="F1649" s="35" t="s">
        <v>349</v>
      </c>
      <c r="G1649" s="35">
        <v>0.66</v>
      </c>
    </row>
    <row r="1650" spans="1:7" x14ac:dyDescent="0.2">
      <c r="A1650" s="35" t="s">
        <v>52</v>
      </c>
      <c r="B1650" s="35" t="s">
        <v>52</v>
      </c>
      <c r="C1650" s="35" t="s">
        <v>65</v>
      </c>
      <c r="D1650" s="35" t="s">
        <v>245</v>
      </c>
      <c r="E1650" s="35">
        <v>42</v>
      </c>
      <c r="F1650" s="35" t="s">
        <v>349</v>
      </c>
      <c r="G1650" s="35">
        <v>0.66</v>
      </c>
    </row>
    <row r="1651" spans="1:7" x14ac:dyDescent="0.2">
      <c r="A1651" s="35" t="s">
        <v>52</v>
      </c>
      <c r="B1651" s="35" t="s">
        <v>52</v>
      </c>
      <c r="C1651" s="35" t="s">
        <v>223</v>
      </c>
      <c r="D1651" s="35" t="s">
        <v>241</v>
      </c>
      <c r="E1651" s="35">
        <v>42</v>
      </c>
      <c r="F1651" s="35" t="s">
        <v>349</v>
      </c>
      <c r="G1651" s="35">
        <v>0.64</v>
      </c>
    </row>
    <row r="1652" spans="1:7" x14ac:dyDescent="0.2">
      <c r="A1652" s="35" t="s">
        <v>52</v>
      </c>
      <c r="B1652" s="35" t="s">
        <v>52</v>
      </c>
      <c r="C1652" s="35" t="s">
        <v>223</v>
      </c>
      <c r="D1652" s="35" t="s">
        <v>246</v>
      </c>
      <c r="E1652" s="35">
        <v>42</v>
      </c>
      <c r="F1652" s="35" t="s">
        <v>349</v>
      </c>
      <c r="G1652" s="35">
        <v>0.64</v>
      </c>
    </row>
    <row r="1653" spans="1:7" x14ac:dyDescent="0.2">
      <c r="A1653" s="35" t="s">
        <v>52</v>
      </c>
      <c r="B1653" s="35" t="s">
        <v>52</v>
      </c>
      <c r="C1653" s="35" t="s">
        <v>223</v>
      </c>
      <c r="D1653" s="35" t="s">
        <v>242</v>
      </c>
      <c r="E1653" s="35">
        <v>42</v>
      </c>
      <c r="F1653" s="35" t="s">
        <v>349</v>
      </c>
      <c r="G1653" s="35">
        <v>0.64</v>
      </c>
    </row>
    <row r="1654" spans="1:7" x14ac:dyDescent="0.2">
      <c r="A1654" s="35" t="s">
        <v>52</v>
      </c>
      <c r="B1654" s="35" t="s">
        <v>52</v>
      </c>
      <c r="C1654" s="35" t="s">
        <v>223</v>
      </c>
      <c r="D1654" s="35" t="s">
        <v>243</v>
      </c>
      <c r="E1654" s="35">
        <v>42</v>
      </c>
      <c r="F1654" s="35" t="s">
        <v>349</v>
      </c>
      <c r="G1654" s="35">
        <v>0.63</v>
      </c>
    </row>
    <row r="1655" spans="1:7" x14ac:dyDescent="0.2">
      <c r="A1655" s="35" t="s">
        <v>52</v>
      </c>
      <c r="B1655" s="35" t="s">
        <v>52</v>
      </c>
      <c r="C1655" s="35" t="s">
        <v>223</v>
      </c>
      <c r="D1655" s="35" t="s">
        <v>244</v>
      </c>
      <c r="E1655" s="35">
        <v>42</v>
      </c>
      <c r="F1655" s="35" t="s">
        <v>349</v>
      </c>
      <c r="G1655" s="35">
        <v>0.64</v>
      </c>
    </row>
    <row r="1656" spans="1:7" x14ac:dyDescent="0.2">
      <c r="A1656" s="35" t="s">
        <v>52</v>
      </c>
      <c r="B1656" s="35" t="s">
        <v>221</v>
      </c>
      <c r="C1656" s="35" t="s">
        <v>65</v>
      </c>
      <c r="D1656" s="35" t="s">
        <v>225</v>
      </c>
      <c r="E1656" s="35">
        <v>42</v>
      </c>
      <c r="F1656" s="35" t="s">
        <v>349</v>
      </c>
      <c r="G1656" s="35">
        <v>0.63</v>
      </c>
    </row>
    <row r="1657" spans="1:7" x14ac:dyDescent="0.2">
      <c r="A1657" s="35" t="s">
        <v>52</v>
      </c>
      <c r="B1657" s="35" t="s">
        <v>221</v>
      </c>
      <c r="C1657" s="35" t="s">
        <v>223</v>
      </c>
      <c r="D1657" s="35" t="s">
        <v>226</v>
      </c>
      <c r="E1657" s="35">
        <v>42</v>
      </c>
      <c r="F1657" s="35" t="s">
        <v>349</v>
      </c>
      <c r="G1657" s="35">
        <v>0.65</v>
      </c>
    </row>
    <row r="1658" spans="1:7" x14ac:dyDescent="0.2">
      <c r="A1658" s="35" t="s">
        <v>75</v>
      </c>
      <c r="B1658" s="35" t="s">
        <v>75</v>
      </c>
      <c r="C1658" s="35" t="s">
        <v>65</v>
      </c>
      <c r="D1658" s="35" t="s">
        <v>233</v>
      </c>
      <c r="E1658" s="35">
        <v>0</v>
      </c>
      <c r="F1658" s="35" t="s">
        <v>85</v>
      </c>
      <c r="G1658" s="35">
        <v>7.7169696969696986</v>
      </c>
    </row>
    <row r="1659" spans="1:7" x14ac:dyDescent="0.2">
      <c r="A1659" s="35" t="s">
        <v>75</v>
      </c>
      <c r="B1659" s="35" t="s">
        <v>75</v>
      </c>
      <c r="C1659" s="35" t="s">
        <v>65</v>
      </c>
      <c r="D1659" s="35" t="s">
        <v>227</v>
      </c>
      <c r="E1659" s="35">
        <v>0</v>
      </c>
      <c r="F1659" s="35" t="s">
        <v>85</v>
      </c>
      <c r="G1659" s="35">
        <v>7.7169696969696986</v>
      </c>
    </row>
    <row r="1660" spans="1:7" x14ac:dyDescent="0.2">
      <c r="A1660" s="35" t="s">
        <v>75</v>
      </c>
      <c r="B1660" s="35" t="s">
        <v>75</v>
      </c>
      <c r="C1660" s="35" t="s">
        <v>65</v>
      </c>
      <c r="D1660" s="35" t="s">
        <v>228</v>
      </c>
      <c r="E1660" s="35">
        <v>0</v>
      </c>
      <c r="F1660" s="35" t="s">
        <v>85</v>
      </c>
      <c r="G1660" s="35">
        <v>7.7169696969696986</v>
      </c>
    </row>
    <row r="1661" spans="1:7" x14ac:dyDescent="0.2">
      <c r="A1661" s="35" t="s">
        <v>75</v>
      </c>
      <c r="B1661" s="35" t="s">
        <v>75</v>
      </c>
      <c r="C1661" s="35" t="s">
        <v>65</v>
      </c>
      <c r="D1661" s="35" t="s">
        <v>229</v>
      </c>
      <c r="E1661" s="35">
        <v>0</v>
      </c>
      <c r="F1661" s="35" t="s">
        <v>85</v>
      </c>
      <c r="G1661" s="35">
        <v>7.7169696969696986</v>
      </c>
    </row>
    <row r="1662" spans="1:7" x14ac:dyDescent="0.2">
      <c r="A1662" s="35" t="s">
        <v>75</v>
      </c>
      <c r="B1662" s="35" t="s">
        <v>75</v>
      </c>
      <c r="C1662" s="35" t="s">
        <v>65</v>
      </c>
      <c r="D1662" s="35" t="s">
        <v>234</v>
      </c>
      <c r="E1662" s="35">
        <v>0</v>
      </c>
      <c r="F1662" s="35" t="s">
        <v>85</v>
      </c>
      <c r="G1662" s="35">
        <v>7.7169696969696986</v>
      </c>
    </row>
    <row r="1663" spans="1:7" x14ac:dyDescent="0.2">
      <c r="A1663" s="35" t="s">
        <v>75</v>
      </c>
      <c r="B1663" s="35" t="s">
        <v>75</v>
      </c>
      <c r="C1663" s="35" t="s">
        <v>223</v>
      </c>
      <c r="D1663" s="35" t="s">
        <v>230</v>
      </c>
      <c r="E1663" s="35">
        <v>0</v>
      </c>
      <c r="F1663" s="35" t="s">
        <v>85</v>
      </c>
      <c r="G1663" s="35">
        <v>7.7169696969696986</v>
      </c>
    </row>
    <row r="1664" spans="1:7" x14ac:dyDescent="0.2">
      <c r="A1664" s="35" t="s">
        <v>75</v>
      </c>
      <c r="B1664" s="35" t="s">
        <v>75</v>
      </c>
      <c r="C1664" s="35" t="s">
        <v>223</v>
      </c>
      <c r="D1664" s="35" t="s">
        <v>231</v>
      </c>
      <c r="E1664" s="35">
        <v>0</v>
      </c>
      <c r="F1664" s="35" t="s">
        <v>85</v>
      </c>
      <c r="G1664" s="35">
        <v>7.7169696969696986</v>
      </c>
    </row>
    <row r="1665" spans="1:7" x14ac:dyDescent="0.2">
      <c r="A1665" s="35" t="s">
        <v>75</v>
      </c>
      <c r="B1665" s="35" t="s">
        <v>75</v>
      </c>
      <c r="C1665" s="35" t="s">
        <v>223</v>
      </c>
      <c r="D1665" s="35" t="s">
        <v>235</v>
      </c>
      <c r="E1665" s="35">
        <v>0</v>
      </c>
      <c r="F1665" s="35" t="s">
        <v>85</v>
      </c>
      <c r="G1665" s="35">
        <v>7.7169696969696986</v>
      </c>
    </row>
    <row r="1666" spans="1:7" x14ac:dyDescent="0.2">
      <c r="A1666" s="35" t="s">
        <v>75</v>
      </c>
      <c r="B1666" s="35" t="s">
        <v>75</v>
      </c>
      <c r="C1666" s="35" t="s">
        <v>223</v>
      </c>
      <c r="D1666" s="35" t="s">
        <v>232</v>
      </c>
      <c r="E1666" s="35">
        <v>0</v>
      </c>
      <c r="F1666" s="35" t="s">
        <v>85</v>
      </c>
      <c r="G1666" s="35">
        <v>7.7169696969696986</v>
      </c>
    </row>
    <row r="1667" spans="1:7" x14ac:dyDescent="0.2">
      <c r="A1667" s="35" t="s">
        <v>75</v>
      </c>
      <c r="B1667" s="35" t="s">
        <v>75</v>
      </c>
      <c r="C1667" s="35" t="s">
        <v>223</v>
      </c>
      <c r="D1667" s="35" t="s">
        <v>236</v>
      </c>
      <c r="E1667" s="35">
        <v>0</v>
      </c>
      <c r="F1667" s="35" t="s">
        <v>85</v>
      </c>
      <c r="G1667" s="35">
        <v>7.7169696969696986</v>
      </c>
    </row>
    <row r="1668" spans="1:7" x14ac:dyDescent="0.2">
      <c r="A1668" s="35" t="s">
        <v>75</v>
      </c>
      <c r="B1668" s="35" t="s">
        <v>221</v>
      </c>
      <c r="C1668" s="35" t="s">
        <v>65</v>
      </c>
      <c r="D1668" s="35" t="s">
        <v>222</v>
      </c>
      <c r="E1668" s="35">
        <v>0</v>
      </c>
      <c r="F1668" s="35" t="s">
        <v>85</v>
      </c>
      <c r="G1668" s="35">
        <v>7.68</v>
      </c>
    </row>
    <row r="1669" spans="1:7" x14ac:dyDescent="0.2">
      <c r="A1669" s="35" t="s">
        <v>75</v>
      </c>
      <c r="B1669" s="35" t="s">
        <v>221</v>
      </c>
      <c r="C1669" s="35" t="s">
        <v>223</v>
      </c>
      <c r="D1669" s="35" t="s">
        <v>224</v>
      </c>
      <c r="E1669" s="35">
        <v>0</v>
      </c>
      <c r="F1669" s="35" t="s">
        <v>85</v>
      </c>
      <c r="G1669" s="35">
        <v>7.68</v>
      </c>
    </row>
    <row r="1670" spans="1:7" x14ac:dyDescent="0.2">
      <c r="A1670" s="35" t="s">
        <v>52</v>
      </c>
      <c r="B1670" s="35" t="s">
        <v>52</v>
      </c>
      <c r="C1670" s="35" t="s">
        <v>65</v>
      </c>
      <c r="D1670" s="35" t="s">
        <v>237</v>
      </c>
      <c r="E1670" s="35">
        <v>0</v>
      </c>
      <c r="F1670" s="35" t="s">
        <v>85</v>
      </c>
      <c r="G1670" s="35">
        <v>7.967741935483871</v>
      </c>
    </row>
    <row r="1671" spans="1:7" x14ac:dyDescent="0.2">
      <c r="A1671" s="35" t="s">
        <v>52</v>
      </c>
      <c r="B1671" s="35" t="s">
        <v>52</v>
      </c>
      <c r="C1671" s="35" t="s">
        <v>65</v>
      </c>
      <c r="D1671" s="35" t="s">
        <v>238</v>
      </c>
      <c r="E1671" s="35">
        <v>0</v>
      </c>
      <c r="F1671" s="35" t="s">
        <v>85</v>
      </c>
      <c r="G1671" s="35">
        <v>7.967741935483871</v>
      </c>
    </row>
    <row r="1672" spans="1:7" x14ac:dyDescent="0.2">
      <c r="A1672" s="35" t="s">
        <v>52</v>
      </c>
      <c r="B1672" s="35" t="s">
        <v>52</v>
      </c>
      <c r="C1672" s="35" t="s">
        <v>65</v>
      </c>
      <c r="D1672" s="35" t="s">
        <v>239</v>
      </c>
      <c r="E1672" s="35">
        <v>0</v>
      </c>
      <c r="F1672" s="35" t="s">
        <v>85</v>
      </c>
      <c r="G1672" s="35">
        <v>7.967741935483871</v>
      </c>
    </row>
    <row r="1673" spans="1:7" x14ac:dyDescent="0.2">
      <c r="A1673" s="35" t="s">
        <v>52</v>
      </c>
      <c r="B1673" s="35" t="s">
        <v>52</v>
      </c>
      <c r="C1673" s="35" t="s">
        <v>65</v>
      </c>
      <c r="D1673" s="35" t="s">
        <v>240</v>
      </c>
      <c r="E1673" s="35">
        <v>0</v>
      </c>
      <c r="F1673" s="35" t="s">
        <v>85</v>
      </c>
      <c r="G1673" s="35">
        <v>7.967741935483871</v>
      </c>
    </row>
    <row r="1674" spans="1:7" x14ac:dyDescent="0.2">
      <c r="A1674" s="35" t="s">
        <v>52</v>
      </c>
      <c r="B1674" s="35" t="s">
        <v>52</v>
      </c>
      <c r="C1674" s="35" t="s">
        <v>65</v>
      </c>
      <c r="D1674" s="35" t="s">
        <v>245</v>
      </c>
      <c r="E1674" s="35">
        <v>0</v>
      </c>
      <c r="F1674" s="35" t="s">
        <v>85</v>
      </c>
      <c r="G1674" s="35">
        <v>7.967741935483871</v>
      </c>
    </row>
    <row r="1675" spans="1:7" x14ac:dyDescent="0.2">
      <c r="A1675" s="35" t="s">
        <v>52</v>
      </c>
      <c r="B1675" s="35" t="s">
        <v>52</v>
      </c>
      <c r="C1675" s="35" t="s">
        <v>223</v>
      </c>
      <c r="D1675" s="35" t="s">
        <v>241</v>
      </c>
      <c r="E1675" s="35">
        <v>0</v>
      </c>
      <c r="F1675" s="35" t="s">
        <v>85</v>
      </c>
      <c r="G1675" s="35">
        <v>7.967741935483871</v>
      </c>
    </row>
    <row r="1676" spans="1:7" x14ac:dyDescent="0.2">
      <c r="A1676" s="35" t="s">
        <v>52</v>
      </c>
      <c r="B1676" s="35" t="s">
        <v>52</v>
      </c>
      <c r="C1676" s="35" t="s">
        <v>223</v>
      </c>
      <c r="D1676" s="35" t="s">
        <v>246</v>
      </c>
      <c r="E1676" s="35">
        <v>0</v>
      </c>
      <c r="F1676" s="35" t="s">
        <v>85</v>
      </c>
      <c r="G1676" s="35">
        <v>7.967741935483871</v>
      </c>
    </row>
    <row r="1677" spans="1:7" x14ac:dyDescent="0.2">
      <c r="A1677" s="35" t="s">
        <v>52</v>
      </c>
      <c r="B1677" s="35" t="s">
        <v>52</v>
      </c>
      <c r="C1677" s="35" t="s">
        <v>223</v>
      </c>
      <c r="D1677" s="35" t="s">
        <v>242</v>
      </c>
      <c r="E1677" s="35">
        <v>0</v>
      </c>
      <c r="F1677" s="35" t="s">
        <v>85</v>
      </c>
      <c r="G1677" s="35">
        <v>7.967741935483871</v>
      </c>
    </row>
    <row r="1678" spans="1:7" x14ac:dyDescent="0.2">
      <c r="A1678" s="35" t="s">
        <v>52</v>
      </c>
      <c r="B1678" s="35" t="s">
        <v>52</v>
      </c>
      <c r="C1678" s="35" t="s">
        <v>223</v>
      </c>
      <c r="D1678" s="35" t="s">
        <v>243</v>
      </c>
      <c r="E1678" s="35">
        <v>0</v>
      </c>
      <c r="F1678" s="35" t="s">
        <v>85</v>
      </c>
      <c r="G1678" s="35">
        <v>7.967741935483871</v>
      </c>
    </row>
    <row r="1679" spans="1:7" x14ac:dyDescent="0.2">
      <c r="A1679" s="35" t="s">
        <v>52</v>
      </c>
      <c r="B1679" s="35" t="s">
        <v>52</v>
      </c>
      <c r="C1679" s="35" t="s">
        <v>223</v>
      </c>
      <c r="D1679" s="35" t="s">
        <v>244</v>
      </c>
      <c r="E1679" s="35">
        <v>0</v>
      </c>
      <c r="F1679" s="35" t="s">
        <v>85</v>
      </c>
      <c r="G1679" s="35">
        <v>7.967741935483871</v>
      </c>
    </row>
    <row r="1680" spans="1:7" x14ac:dyDescent="0.2">
      <c r="A1680" s="35" t="s">
        <v>52</v>
      </c>
      <c r="B1680" s="35" t="s">
        <v>221</v>
      </c>
      <c r="C1680" s="35" t="s">
        <v>65</v>
      </c>
      <c r="D1680" s="35" t="s">
        <v>225</v>
      </c>
      <c r="E1680" s="35">
        <v>0</v>
      </c>
      <c r="F1680" s="35" t="s">
        <v>85</v>
      </c>
      <c r="G1680" s="35">
        <v>8.01</v>
      </c>
    </row>
    <row r="1681" spans="1:7" x14ac:dyDescent="0.2">
      <c r="A1681" s="35" t="s">
        <v>52</v>
      </c>
      <c r="B1681" s="35" t="s">
        <v>221</v>
      </c>
      <c r="C1681" s="35" t="s">
        <v>223</v>
      </c>
      <c r="D1681" s="35" t="s">
        <v>226</v>
      </c>
      <c r="E1681" s="35">
        <v>0</v>
      </c>
      <c r="F1681" s="35" t="s">
        <v>85</v>
      </c>
      <c r="G1681" s="35">
        <v>8.01</v>
      </c>
    </row>
    <row r="1682" spans="1:7" x14ac:dyDescent="0.2">
      <c r="A1682" s="35" t="s">
        <v>75</v>
      </c>
      <c r="B1682" s="35" t="s">
        <v>75</v>
      </c>
      <c r="C1682" s="35" t="s">
        <v>65</v>
      </c>
      <c r="D1682" s="35" t="s">
        <v>233</v>
      </c>
      <c r="E1682" s="35">
        <v>1</v>
      </c>
      <c r="F1682" s="35" t="s">
        <v>85</v>
      </c>
      <c r="G1682" s="35">
        <v>7.93</v>
      </c>
    </row>
    <row r="1683" spans="1:7" x14ac:dyDescent="0.2">
      <c r="A1683" s="35" t="s">
        <v>75</v>
      </c>
      <c r="B1683" s="35" t="s">
        <v>75</v>
      </c>
      <c r="C1683" s="35" t="s">
        <v>65</v>
      </c>
      <c r="D1683" s="35" t="s">
        <v>227</v>
      </c>
      <c r="E1683" s="35">
        <v>1</v>
      </c>
      <c r="F1683" s="35" t="s">
        <v>85</v>
      </c>
      <c r="G1683" s="35">
        <v>7.95</v>
      </c>
    </row>
    <row r="1684" spans="1:7" x14ac:dyDescent="0.2">
      <c r="A1684" s="35" t="s">
        <v>75</v>
      </c>
      <c r="B1684" s="35" t="s">
        <v>75</v>
      </c>
      <c r="C1684" s="35" t="s">
        <v>65</v>
      </c>
      <c r="D1684" s="35" t="s">
        <v>228</v>
      </c>
      <c r="E1684" s="35">
        <v>1</v>
      </c>
      <c r="F1684" s="35" t="s">
        <v>85</v>
      </c>
      <c r="G1684" s="35">
        <v>7.96</v>
      </c>
    </row>
    <row r="1685" spans="1:7" x14ac:dyDescent="0.2">
      <c r="A1685" s="35" t="s">
        <v>75</v>
      </c>
      <c r="B1685" s="35" t="s">
        <v>75</v>
      </c>
      <c r="C1685" s="35" t="s">
        <v>65</v>
      </c>
      <c r="D1685" s="35" t="s">
        <v>229</v>
      </c>
      <c r="E1685" s="35">
        <v>1</v>
      </c>
      <c r="F1685" s="35" t="s">
        <v>85</v>
      </c>
      <c r="G1685" s="35">
        <v>7.95</v>
      </c>
    </row>
    <row r="1686" spans="1:7" x14ac:dyDescent="0.2">
      <c r="A1686" s="35" t="s">
        <v>75</v>
      </c>
      <c r="B1686" s="35" t="s">
        <v>75</v>
      </c>
      <c r="C1686" s="35" t="s">
        <v>65</v>
      </c>
      <c r="D1686" s="35" t="s">
        <v>234</v>
      </c>
      <c r="E1686" s="35">
        <v>1</v>
      </c>
      <c r="F1686" s="35" t="s">
        <v>85</v>
      </c>
      <c r="G1686" s="35">
        <v>7.95</v>
      </c>
    </row>
    <row r="1687" spans="1:7" x14ac:dyDescent="0.2">
      <c r="A1687" s="35" t="s">
        <v>75</v>
      </c>
      <c r="B1687" s="35" t="s">
        <v>75</v>
      </c>
      <c r="C1687" s="35" t="s">
        <v>223</v>
      </c>
      <c r="D1687" s="35" t="s">
        <v>230</v>
      </c>
      <c r="E1687" s="35">
        <v>1</v>
      </c>
      <c r="F1687" s="35" t="s">
        <v>85</v>
      </c>
      <c r="G1687" s="35">
        <v>7.94</v>
      </c>
    </row>
    <row r="1688" spans="1:7" x14ac:dyDescent="0.2">
      <c r="A1688" s="35" t="s">
        <v>75</v>
      </c>
      <c r="B1688" s="35" t="s">
        <v>75</v>
      </c>
      <c r="C1688" s="35" t="s">
        <v>223</v>
      </c>
      <c r="D1688" s="35" t="s">
        <v>231</v>
      </c>
      <c r="E1688" s="35">
        <v>1</v>
      </c>
      <c r="F1688" s="35" t="s">
        <v>85</v>
      </c>
      <c r="G1688" s="35">
        <v>7.95</v>
      </c>
    </row>
    <row r="1689" spans="1:7" x14ac:dyDescent="0.2">
      <c r="A1689" s="35" t="s">
        <v>75</v>
      </c>
      <c r="B1689" s="35" t="s">
        <v>75</v>
      </c>
      <c r="C1689" s="35" t="s">
        <v>223</v>
      </c>
      <c r="D1689" s="35" t="s">
        <v>235</v>
      </c>
      <c r="E1689" s="35">
        <v>1</v>
      </c>
      <c r="F1689" s="35" t="s">
        <v>85</v>
      </c>
      <c r="G1689" s="35">
        <v>7.96</v>
      </c>
    </row>
    <row r="1690" spans="1:7" x14ac:dyDescent="0.2">
      <c r="A1690" s="35" t="s">
        <v>75</v>
      </c>
      <c r="B1690" s="35" t="s">
        <v>75</v>
      </c>
      <c r="C1690" s="35" t="s">
        <v>223</v>
      </c>
      <c r="D1690" s="35" t="s">
        <v>232</v>
      </c>
      <c r="E1690" s="35">
        <v>1</v>
      </c>
      <c r="F1690" s="35" t="s">
        <v>85</v>
      </c>
      <c r="G1690" s="35">
        <v>7.97</v>
      </c>
    </row>
    <row r="1691" spans="1:7" x14ac:dyDescent="0.2">
      <c r="A1691" s="35" t="s">
        <v>75</v>
      </c>
      <c r="B1691" s="35" t="s">
        <v>75</v>
      </c>
      <c r="C1691" s="35" t="s">
        <v>223</v>
      </c>
      <c r="D1691" s="35" t="s">
        <v>236</v>
      </c>
      <c r="E1691" s="35">
        <v>1</v>
      </c>
      <c r="F1691" s="35" t="s">
        <v>85</v>
      </c>
      <c r="G1691" s="35">
        <v>7.95</v>
      </c>
    </row>
    <row r="1692" spans="1:7" x14ac:dyDescent="0.2">
      <c r="A1692" s="35" t="s">
        <v>75</v>
      </c>
      <c r="B1692" s="35" t="s">
        <v>221</v>
      </c>
      <c r="C1692" s="35" t="s">
        <v>65</v>
      </c>
      <c r="D1692" s="35" t="s">
        <v>222</v>
      </c>
      <c r="E1692" s="35">
        <v>1</v>
      </c>
      <c r="F1692" s="35" t="s">
        <v>85</v>
      </c>
      <c r="G1692" s="35">
        <v>7.95</v>
      </c>
    </row>
    <row r="1693" spans="1:7" x14ac:dyDescent="0.2">
      <c r="A1693" s="35" t="s">
        <v>75</v>
      </c>
      <c r="B1693" s="35" t="s">
        <v>221</v>
      </c>
      <c r="C1693" s="35" t="s">
        <v>223</v>
      </c>
      <c r="D1693" s="35" t="s">
        <v>224</v>
      </c>
      <c r="E1693" s="35">
        <v>1</v>
      </c>
      <c r="F1693" s="35" t="s">
        <v>85</v>
      </c>
      <c r="G1693" s="35">
        <v>7.96</v>
      </c>
    </row>
    <row r="1694" spans="1:7" x14ac:dyDescent="0.2">
      <c r="A1694" s="35" t="s">
        <v>52</v>
      </c>
      <c r="B1694" s="35" t="s">
        <v>52</v>
      </c>
      <c r="C1694" s="35" t="s">
        <v>65</v>
      </c>
      <c r="D1694" s="35" t="s">
        <v>237</v>
      </c>
      <c r="E1694" s="35">
        <v>1</v>
      </c>
      <c r="F1694" s="35" t="s">
        <v>85</v>
      </c>
      <c r="G1694" s="35">
        <v>7.93</v>
      </c>
    </row>
    <row r="1695" spans="1:7" x14ac:dyDescent="0.2">
      <c r="A1695" s="35" t="s">
        <v>52</v>
      </c>
      <c r="B1695" s="35" t="s">
        <v>52</v>
      </c>
      <c r="C1695" s="35" t="s">
        <v>65</v>
      </c>
      <c r="D1695" s="35" t="s">
        <v>238</v>
      </c>
      <c r="E1695" s="35">
        <v>1</v>
      </c>
      <c r="F1695" s="35" t="s">
        <v>85</v>
      </c>
      <c r="G1695" s="35">
        <v>7.86</v>
      </c>
    </row>
    <row r="1696" spans="1:7" x14ac:dyDescent="0.2">
      <c r="A1696" s="35" t="s">
        <v>52</v>
      </c>
      <c r="B1696" s="35" t="s">
        <v>52</v>
      </c>
      <c r="C1696" s="35" t="s">
        <v>65</v>
      </c>
      <c r="D1696" s="35" t="s">
        <v>239</v>
      </c>
      <c r="E1696" s="35">
        <v>1</v>
      </c>
      <c r="F1696" s="35" t="s">
        <v>85</v>
      </c>
      <c r="G1696" s="35">
        <v>7.88</v>
      </c>
    </row>
    <row r="1697" spans="1:7" x14ac:dyDescent="0.2">
      <c r="A1697" s="35" t="s">
        <v>52</v>
      </c>
      <c r="B1697" s="35" t="s">
        <v>52</v>
      </c>
      <c r="C1697" s="35" t="s">
        <v>65</v>
      </c>
      <c r="D1697" s="35" t="s">
        <v>240</v>
      </c>
      <c r="E1697" s="35">
        <v>1</v>
      </c>
      <c r="F1697" s="35" t="s">
        <v>85</v>
      </c>
      <c r="G1697" s="35">
        <v>7.9</v>
      </c>
    </row>
    <row r="1698" spans="1:7" x14ac:dyDescent="0.2">
      <c r="A1698" s="35" t="s">
        <v>52</v>
      </c>
      <c r="B1698" s="35" t="s">
        <v>52</v>
      </c>
      <c r="C1698" s="35" t="s">
        <v>65</v>
      </c>
      <c r="D1698" s="35" t="s">
        <v>245</v>
      </c>
      <c r="E1698" s="35">
        <v>1</v>
      </c>
      <c r="F1698" s="35" t="s">
        <v>85</v>
      </c>
      <c r="G1698" s="35">
        <v>7.89</v>
      </c>
    </row>
    <row r="1699" spans="1:7" x14ac:dyDescent="0.2">
      <c r="A1699" s="35" t="s">
        <v>52</v>
      </c>
      <c r="B1699" s="35" t="s">
        <v>52</v>
      </c>
      <c r="C1699" s="35" t="s">
        <v>223</v>
      </c>
      <c r="D1699" s="35" t="s">
        <v>241</v>
      </c>
      <c r="E1699" s="35">
        <v>1</v>
      </c>
      <c r="F1699" s="35" t="s">
        <v>85</v>
      </c>
      <c r="G1699" s="35">
        <v>7.74</v>
      </c>
    </row>
    <row r="1700" spans="1:7" x14ac:dyDescent="0.2">
      <c r="A1700" s="35" t="s">
        <v>52</v>
      </c>
      <c r="B1700" s="35" t="s">
        <v>52</v>
      </c>
      <c r="C1700" s="35" t="s">
        <v>223</v>
      </c>
      <c r="D1700" s="35" t="s">
        <v>246</v>
      </c>
      <c r="E1700" s="35">
        <v>1</v>
      </c>
      <c r="F1700" s="35" t="s">
        <v>85</v>
      </c>
      <c r="G1700" s="35">
        <v>7.85</v>
      </c>
    </row>
    <row r="1701" spans="1:7" x14ac:dyDescent="0.2">
      <c r="A1701" s="35" t="s">
        <v>52</v>
      </c>
      <c r="B1701" s="35" t="s">
        <v>52</v>
      </c>
      <c r="C1701" s="35" t="s">
        <v>223</v>
      </c>
      <c r="D1701" s="35" t="s">
        <v>242</v>
      </c>
      <c r="E1701" s="35">
        <v>1</v>
      </c>
      <c r="F1701" s="35" t="s">
        <v>85</v>
      </c>
      <c r="G1701" s="35">
        <v>7.83</v>
      </c>
    </row>
    <row r="1702" spans="1:7" x14ac:dyDescent="0.2">
      <c r="A1702" s="35" t="s">
        <v>52</v>
      </c>
      <c r="B1702" s="35" t="s">
        <v>52</v>
      </c>
      <c r="C1702" s="35" t="s">
        <v>223</v>
      </c>
      <c r="D1702" s="35" t="s">
        <v>243</v>
      </c>
      <c r="E1702" s="35">
        <v>1</v>
      </c>
      <c r="F1702" s="35" t="s">
        <v>85</v>
      </c>
      <c r="G1702" s="35">
        <v>7.86</v>
      </c>
    </row>
    <row r="1703" spans="1:7" x14ac:dyDescent="0.2">
      <c r="A1703" s="35" t="s">
        <v>52</v>
      </c>
      <c r="B1703" s="35" t="s">
        <v>52</v>
      </c>
      <c r="C1703" s="35" t="s">
        <v>223</v>
      </c>
      <c r="D1703" s="35" t="s">
        <v>244</v>
      </c>
      <c r="E1703" s="35">
        <v>1</v>
      </c>
      <c r="F1703" s="35" t="s">
        <v>85</v>
      </c>
      <c r="G1703" s="35">
        <v>7.84</v>
      </c>
    </row>
    <row r="1704" spans="1:7" x14ac:dyDescent="0.2">
      <c r="A1704" s="35" t="s">
        <v>52</v>
      </c>
      <c r="B1704" s="35" t="s">
        <v>221</v>
      </c>
      <c r="C1704" s="35" t="s">
        <v>65</v>
      </c>
      <c r="D1704" s="35" t="s">
        <v>225</v>
      </c>
      <c r="E1704" s="35">
        <v>1</v>
      </c>
      <c r="F1704" s="35" t="s">
        <v>85</v>
      </c>
      <c r="G1704" s="35">
        <v>7.9</v>
      </c>
    </row>
    <row r="1705" spans="1:7" x14ac:dyDescent="0.2">
      <c r="A1705" s="35" t="s">
        <v>52</v>
      </c>
      <c r="B1705" s="35" t="s">
        <v>221</v>
      </c>
      <c r="C1705" s="35" t="s">
        <v>223</v>
      </c>
      <c r="D1705" s="35" t="s">
        <v>226</v>
      </c>
      <c r="E1705" s="35">
        <v>1</v>
      </c>
      <c r="F1705" s="35" t="s">
        <v>85</v>
      </c>
      <c r="G1705" s="35">
        <v>7.83</v>
      </c>
    </row>
    <row r="1706" spans="1:7" x14ac:dyDescent="0.2">
      <c r="A1706" s="35" t="s">
        <v>75</v>
      </c>
      <c r="B1706" s="35" t="s">
        <v>75</v>
      </c>
      <c r="C1706" s="35" t="s">
        <v>65</v>
      </c>
      <c r="D1706" s="35" t="s">
        <v>233</v>
      </c>
      <c r="E1706" s="35">
        <v>2</v>
      </c>
      <c r="F1706" s="35" t="s">
        <v>85</v>
      </c>
      <c r="G1706" s="35">
        <v>7.82</v>
      </c>
    </row>
    <row r="1707" spans="1:7" x14ac:dyDescent="0.2">
      <c r="A1707" s="35" t="s">
        <v>75</v>
      </c>
      <c r="B1707" s="35" t="s">
        <v>75</v>
      </c>
      <c r="C1707" s="35" t="s">
        <v>65</v>
      </c>
      <c r="D1707" s="35" t="s">
        <v>227</v>
      </c>
      <c r="E1707" s="35">
        <v>2</v>
      </c>
      <c r="F1707" s="35" t="s">
        <v>85</v>
      </c>
      <c r="G1707" s="35">
        <v>7.85</v>
      </c>
    </row>
    <row r="1708" spans="1:7" x14ac:dyDescent="0.2">
      <c r="A1708" s="35" t="s">
        <v>75</v>
      </c>
      <c r="B1708" s="35" t="s">
        <v>75</v>
      </c>
      <c r="C1708" s="35" t="s">
        <v>65</v>
      </c>
      <c r="D1708" s="35" t="s">
        <v>228</v>
      </c>
      <c r="E1708" s="35">
        <v>2</v>
      </c>
      <c r="F1708" s="35" t="s">
        <v>85</v>
      </c>
      <c r="G1708" s="35">
        <v>7.84</v>
      </c>
    </row>
    <row r="1709" spans="1:7" x14ac:dyDescent="0.2">
      <c r="A1709" s="35" t="s">
        <v>75</v>
      </c>
      <c r="B1709" s="35" t="s">
        <v>75</v>
      </c>
      <c r="C1709" s="35" t="s">
        <v>65</v>
      </c>
      <c r="D1709" s="35" t="s">
        <v>229</v>
      </c>
      <c r="E1709" s="35">
        <v>2</v>
      </c>
      <c r="F1709" s="35" t="s">
        <v>85</v>
      </c>
      <c r="G1709" s="35">
        <v>7.85</v>
      </c>
    </row>
    <row r="1710" spans="1:7" x14ac:dyDescent="0.2">
      <c r="A1710" s="35" t="s">
        <v>75</v>
      </c>
      <c r="B1710" s="35" t="s">
        <v>75</v>
      </c>
      <c r="C1710" s="35" t="s">
        <v>65</v>
      </c>
      <c r="D1710" s="35" t="s">
        <v>234</v>
      </c>
      <c r="E1710" s="35">
        <v>2</v>
      </c>
      <c r="F1710" s="35" t="s">
        <v>85</v>
      </c>
      <c r="G1710" s="35">
        <v>7.86</v>
      </c>
    </row>
    <row r="1711" spans="1:7" x14ac:dyDescent="0.2">
      <c r="A1711" s="35" t="s">
        <v>75</v>
      </c>
      <c r="B1711" s="35" t="s">
        <v>75</v>
      </c>
      <c r="C1711" s="35" t="s">
        <v>223</v>
      </c>
      <c r="D1711" s="35" t="s">
        <v>230</v>
      </c>
      <c r="E1711" s="35">
        <v>2</v>
      </c>
      <c r="F1711" s="35" t="s">
        <v>85</v>
      </c>
      <c r="G1711" s="35">
        <v>7.8</v>
      </c>
    </row>
    <row r="1712" spans="1:7" x14ac:dyDescent="0.2">
      <c r="A1712" s="35" t="s">
        <v>75</v>
      </c>
      <c r="B1712" s="35" t="s">
        <v>75</v>
      </c>
      <c r="C1712" s="35" t="s">
        <v>223</v>
      </c>
      <c r="D1712" s="35" t="s">
        <v>231</v>
      </c>
      <c r="E1712" s="35">
        <v>2</v>
      </c>
      <c r="F1712" s="35" t="s">
        <v>85</v>
      </c>
      <c r="G1712" s="35">
        <v>7.82</v>
      </c>
    </row>
    <row r="1713" spans="1:7" x14ac:dyDescent="0.2">
      <c r="A1713" s="35" t="s">
        <v>75</v>
      </c>
      <c r="B1713" s="35" t="s">
        <v>75</v>
      </c>
      <c r="C1713" s="35" t="s">
        <v>223</v>
      </c>
      <c r="D1713" s="35" t="s">
        <v>235</v>
      </c>
      <c r="E1713" s="35">
        <v>2</v>
      </c>
      <c r="F1713" s="35" t="s">
        <v>85</v>
      </c>
      <c r="G1713" s="35">
        <v>7.84</v>
      </c>
    </row>
    <row r="1714" spans="1:7" x14ac:dyDescent="0.2">
      <c r="A1714" s="35" t="s">
        <v>75</v>
      </c>
      <c r="B1714" s="35" t="s">
        <v>75</v>
      </c>
      <c r="C1714" s="35" t="s">
        <v>223</v>
      </c>
      <c r="D1714" s="35" t="s">
        <v>232</v>
      </c>
      <c r="E1714" s="35">
        <v>2</v>
      </c>
      <c r="F1714" s="35" t="s">
        <v>85</v>
      </c>
      <c r="G1714" s="35">
        <v>7.83</v>
      </c>
    </row>
    <row r="1715" spans="1:7" x14ac:dyDescent="0.2">
      <c r="A1715" s="35" t="s">
        <v>75</v>
      </c>
      <c r="B1715" s="35" t="s">
        <v>75</v>
      </c>
      <c r="C1715" s="35" t="s">
        <v>223</v>
      </c>
      <c r="D1715" s="35" t="s">
        <v>236</v>
      </c>
      <c r="E1715" s="35">
        <v>2</v>
      </c>
      <c r="F1715" s="35" t="s">
        <v>85</v>
      </c>
      <c r="G1715" s="35">
        <v>7.85</v>
      </c>
    </row>
    <row r="1716" spans="1:7" x14ac:dyDescent="0.2">
      <c r="A1716" s="35" t="s">
        <v>75</v>
      </c>
      <c r="B1716" s="35" t="s">
        <v>221</v>
      </c>
      <c r="C1716" s="35" t="s">
        <v>65</v>
      </c>
      <c r="D1716" s="35" t="s">
        <v>222</v>
      </c>
      <c r="E1716" s="35">
        <v>2</v>
      </c>
      <c r="F1716" s="35" t="s">
        <v>85</v>
      </c>
      <c r="G1716" s="35">
        <v>7.86</v>
      </c>
    </row>
    <row r="1717" spans="1:7" x14ac:dyDescent="0.2">
      <c r="A1717" s="35" t="s">
        <v>75</v>
      </c>
      <c r="B1717" s="35" t="s">
        <v>221</v>
      </c>
      <c r="C1717" s="35" t="s">
        <v>223</v>
      </c>
      <c r="D1717" s="35" t="s">
        <v>224</v>
      </c>
      <c r="E1717" s="35">
        <v>2</v>
      </c>
      <c r="F1717" s="35" t="s">
        <v>85</v>
      </c>
      <c r="G1717" s="35">
        <v>7.85</v>
      </c>
    </row>
    <row r="1718" spans="1:7" x14ac:dyDescent="0.2">
      <c r="A1718" s="35" t="s">
        <v>52</v>
      </c>
      <c r="B1718" s="35" t="s">
        <v>52</v>
      </c>
      <c r="C1718" s="35" t="s">
        <v>65</v>
      </c>
      <c r="D1718" s="35" t="s">
        <v>237</v>
      </c>
      <c r="E1718" s="35">
        <v>2</v>
      </c>
      <c r="F1718" s="35" t="s">
        <v>85</v>
      </c>
      <c r="G1718" s="35">
        <v>7.95</v>
      </c>
    </row>
    <row r="1719" spans="1:7" x14ac:dyDescent="0.2">
      <c r="A1719" s="35" t="s">
        <v>52</v>
      </c>
      <c r="B1719" s="35" t="s">
        <v>52</v>
      </c>
      <c r="C1719" s="35" t="s">
        <v>65</v>
      </c>
      <c r="D1719" s="35" t="s">
        <v>238</v>
      </c>
      <c r="E1719" s="35">
        <v>2</v>
      </c>
      <c r="F1719" s="35" t="s">
        <v>85</v>
      </c>
      <c r="G1719" s="35">
        <v>7.91</v>
      </c>
    </row>
    <row r="1720" spans="1:7" x14ac:dyDescent="0.2">
      <c r="A1720" s="35" t="s">
        <v>52</v>
      </c>
      <c r="B1720" s="35" t="s">
        <v>52</v>
      </c>
      <c r="C1720" s="35" t="s">
        <v>65</v>
      </c>
      <c r="D1720" s="35" t="s">
        <v>239</v>
      </c>
      <c r="E1720" s="35">
        <v>2</v>
      </c>
      <c r="F1720" s="35" t="s">
        <v>85</v>
      </c>
      <c r="G1720" s="35">
        <v>7.9</v>
      </c>
    </row>
    <row r="1721" spans="1:7" x14ac:dyDescent="0.2">
      <c r="A1721" s="35" t="s">
        <v>52</v>
      </c>
      <c r="B1721" s="35" t="s">
        <v>52</v>
      </c>
      <c r="C1721" s="35" t="s">
        <v>65</v>
      </c>
      <c r="D1721" s="35" t="s">
        <v>240</v>
      </c>
      <c r="E1721" s="35">
        <v>2</v>
      </c>
      <c r="F1721" s="35" t="s">
        <v>85</v>
      </c>
      <c r="G1721" s="35">
        <v>7.91</v>
      </c>
    </row>
    <row r="1722" spans="1:7" x14ac:dyDescent="0.2">
      <c r="A1722" s="35" t="s">
        <v>52</v>
      </c>
      <c r="B1722" s="35" t="s">
        <v>52</v>
      </c>
      <c r="C1722" s="35" t="s">
        <v>65</v>
      </c>
      <c r="D1722" s="35" t="s">
        <v>245</v>
      </c>
      <c r="E1722" s="35">
        <v>2</v>
      </c>
      <c r="F1722" s="35" t="s">
        <v>85</v>
      </c>
      <c r="G1722" s="35">
        <v>7.92</v>
      </c>
    </row>
    <row r="1723" spans="1:7" x14ac:dyDescent="0.2">
      <c r="A1723" s="35" t="s">
        <v>52</v>
      </c>
      <c r="B1723" s="35" t="s">
        <v>52</v>
      </c>
      <c r="C1723" s="35" t="s">
        <v>223</v>
      </c>
      <c r="D1723" s="35" t="s">
        <v>241</v>
      </c>
      <c r="E1723" s="35">
        <v>2</v>
      </c>
      <c r="F1723" s="35" t="s">
        <v>85</v>
      </c>
      <c r="G1723" s="35">
        <v>7.92</v>
      </c>
    </row>
    <row r="1724" spans="1:7" x14ac:dyDescent="0.2">
      <c r="A1724" s="35" t="s">
        <v>52</v>
      </c>
      <c r="B1724" s="35" t="s">
        <v>52</v>
      </c>
      <c r="C1724" s="35" t="s">
        <v>223</v>
      </c>
      <c r="D1724" s="35" t="s">
        <v>246</v>
      </c>
      <c r="E1724" s="35">
        <v>2</v>
      </c>
      <c r="F1724" s="35" t="s">
        <v>85</v>
      </c>
      <c r="G1724" s="35">
        <v>7.92</v>
      </c>
    </row>
    <row r="1725" spans="1:7" x14ac:dyDescent="0.2">
      <c r="A1725" s="35" t="s">
        <v>52</v>
      </c>
      <c r="B1725" s="35" t="s">
        <v>52</v>
      </c>
      <c r="C1725" s="35" t="s">
        <v>223</v>
      </c>
      <c r="D1725" s="35" t="s">
        <v>242</v>
      </c>
      <c r="E1725" s="35">
        <v>2</v>
      </c>
      <c r="F1725" s="35" t="s">
        <v>85</v>
      </c>
      <c r="G1725" s="35">
        <v>7.94</v>
      </c>
    </row>
    <row r="1726" spans="1:7" x14ac:dyDescent="0.2">
      <c r="A1726" s="35" t="s">
        <v>52</v>
      </c>
      <c r="B1726" s="35" t="s">
        <v>52</v>
      </c>
      <c r="C1726" s="35" t="s">
        <v>223</v>
      </c>
      <c r="D1726" s="35" t="s">
        <v>243</v>
      </c>
      <c r="E1726" s="35">
        <v>2</v>
      </c>
      <c r="F1726" s="35" t="s">
        <v>85</v>
      </c>
      <c r="G1726" s="35">
        <v>7.92</v>
      </c>
    </row>
    <row r="1727" spans="1:7" x14ac:dyDescent="0.2">
      <c r="A1727" s="35" t="s">
        <v>52</v>
      </c>
      <c r="B1727" s="35" t="s">
        <v>52</v>
      </c>
      <c r="C1727" s="35" t="s">
        <v>223</v>
      </c>
      <c r="D1727" s="35" t="s">
        <v>244</v>
      </c>
      <c r="E1727" s="35">
        <v>2</v>
      </c>
      <c r="F1727" s="35" t="s">
        <v>85</v>
      </c>
      <c r="G1727" s="35">
        <v>7.93</v>
      </c>
    </row>
    <row r="1728" spans="1:7" x14ac:dyDescent="0.2">
      <c r="A1728" s="35" t="s">
        <v>52</v>
      </c>
      <c r="B1728" s="35" t="s">
        <v>221</v>
      </c>
      <c r="C1728" s="35" t="s">
        <v>65</v>
      </c>
      <c r="D1728" s="35" t="s">
        <v>225</v>
      </c>
      <c r="E1728" s="35">
        <v>2</v>
      </c>
      <c r="F1728" s="35" t="s">
        <v>85</v>
      </c>
      <c r="G1728" s="35">
        <v>7.92</v>
      </c>
    </row>
    <row r="1729" spans="1:7" x14ac:dyDescent="0.2">
      <c r="A1729" s="35" t="s">
        <v>52</v>
      </c>
      <c r="B1729" s="35" t="s">
        <v>221</v>
      </c>
      <c r="C1729" s="35" t="s">
        <v>223</v>
      </c>
      <c r="D1729" s="35" t="s">
        <v>226</v>
      </c>
      <c r="E1729" s="35">
        <v>2</v>
      </c>
      <c r="F1729" s="35" t="s">
        <v>85</v>
      </c>
      <c r="G1729" s="35">
        <v>7.93</v>
      </c>
    </row>
    <row r="1730" spans="1:7" x14ac:dyDescent="0.2">
      <c r="A1730" s="35" t="s">
        <v>75</v>
      </c>
      <c r="B1730" s="35" t="s">
        <v>75</v>
      </c>
      <c r="C1730" s="35" t="s">
        <v>65</v>
      </c>
      <c r="D1730" s="35" t="s">
        <v>233</v>
      </c>
      <c r="E1730" s="35">
        <v>3</v>
      </c>
      <c r="F1730" s="35" t="s">
        <v>85</v>
      </c>
      <c r="G1730" s="35">
        <v>8.06</v>
      </c>
    </row>
    <row r="1731" spans="1:7" x14ac:dyDescent="0.2">
      <c r="A1731" s="35" t="s">
        <v>75</v>
      </c>
      <c r="B1731" s="35" t="s">
        <v>75</v>
      </c>
      <c r="C1731" s="35" t="s">
        <v>65</v>
      </c>
      <c r="D1731" s="35" t="s">
        <v>227</v>
      </c>
      <c r="E1731" s="35">
        <v>3</v>
      </c>
      <c r="F1731" s="35" t="s">
        <v>85</v>
      </c>
      <c r="G1731" s="35">
        <v>8.06</v>
      </c>
    </row>
    <row r="1732" spans="1:7" x14ac:dyDescent="0.2">
      <c r="A1732" s="35" t="s">
        <v>75</v>
      </c>
      <c r="B1732" s="35" t="s">
        <v>75</v>
      </c>
      <c r="C1732" s="35" t="s">
        <v>65</v>
      </c>
      <c r="D1732" s="35" t="s">
        <v>228</v>
      </c>
      <c r="E1732" s="35">
        <v>3</v>
      </c>
      <c r="F1732" s="35" t="s">
        <v>85</v>
      </c>
      <c r="G1732" s="35">
        <v>8.26</v>
      </c>
    </row>
    <row r="1733" spans="1:7" x14ac:dyDescent="0.2">
      <c r="A1733" s="35" t="s">
        <v>75</v>
      </c>
      <c r="B1733" s="35" t="s">
        <v>75</v>
      </c>
      <c r="C1733" s="35" t="s">
        <v>65</v>
      </c>
      <c r="D1733" s="35" t="s">
        <v>229</v>
      </c>
      <c r="E1733" s="35">
        <v>3</v>
      </c>
      <c r="F1733" s="35" t="s">
        <v>85</v>
      </c>
      <c r="G1733" s="35">
        <v>8.24</v>
      </c>
    </row>
    <row r="1734" spans="1:7" x14ac:dyDescent="0.2">
      <c r="A1734" s="35" t="s">
        <v>75</v>
      </c>
      <c r="B1734" s="35" t="s">
        <v>75</v>
      </c>
      <c r="C1734" s="35" t="s">
        <v>65</v>
      </c>
      <c r="D1734" s="35" t="s">
        <v>234</v>
      </c>
      <c r="E1734" s="35">
        <v>3</v>
      </c>
      <c r="F1734" s="35" t="s">
        <v>85</v>
      </c>
      <c r="G1734" s="35">
        <v>8.1999999999999993</v>
      </c>
    </row>
    <row r="1735" spans="1:7" x14ac:dyDescent="0.2">
      <c r="A1735" s="35" t="s">
        <v>75</v>
      </c>
      <c r="B1735" s="35" t="s">
        <v>75</v>
      </c>
      <c r="C1735" s="35" t="s">
        <v>223</v>
      </c>
      <c r="D1735" s="35" t="s">
        <v>230</v>
      </c>
      <c r="E1735" s="35">
        <v>3</v>
      </c>
      <c r="F1735" s="35" t="s">
        <v>85</v>
      </c>
      <c r="G1735" s="35">
        <v>7.98</v>
      </c>
    </row>
    <row r="1736" spans="1:7" x14ac:dyDescent="0.2">
      <c r="A1736" s="35" t="s">
        <v>75</v>
      </c>
      <c r="B1736" s="35" t="s">
        <v>75</v>
      </c>
      <c r="C1736" s="35" t="s">
        <v>223</v>
      </c>
      <c r="D1736" s="35" t="s">
        <v>231</v>
      </c>
      <c r="E1736" s="35">
        <v>3</v>
      </c>
      <c r="F1736" s="35" t="s">
        <v>85</v>
      </c>
      <c r="G1736" s="35">
        <v>7.97</v>
      </c>
    </row>
    <row r="1737" spans="1:7" x14ac:dyDescent="0.2">
      <c r="A1737" s="35" t="s">
        <v>75</v>
      </c>
      <c r="B1737" s="35" t="s">
        <v>75</v>
      </c>
      <c r="C1737" s="35" t="s">
        <v>223</v>
      </c>
      <c r="D1737" s="35" t="s">
        <v>235</v>
      </c>
      <c r="E1737" s="35">
        <v>3</v>
      </c>
      <c r="F1737" s="35" t="s">
        <v>85</v>
      </c>
      <c r="G1737" s="35">
        <v>7.98</v>
      </c>
    </row>
    <row r="1738" spans="1:7" x14ac:dyDescent="0.2">
      <c r="A1738" s="35" t="s">
        <v>75</v>
      </c>
      <c r="B1738" s="35" t="s">
        <v>75</v>
      </c>
      <c r="C1738" s="35" t="s">
        <v>223</v>
      </c>
      <c r="D1738" s="35" t="s">
        <v>232</v>
      </c>
      <c r="E1738" s="35">
        <v>3</v>
      </c>
      <c r="F1738" s="35" t="s">
        <v>85</v>
      </c>
      <c r="G1738" s="35">
        <v>7.96</v>
      </c>
    </row>
    <row r="1739" spans="1:7" x14ac:dyDescent="0.2">
      <c r="A1739" s="35" t="s">
        <v>75</v>
      </c>
      <c r="B1739" s="35" t="s">
        <v>75</v>
      </c>
      <c r="C1739" s="35" t="s">
        <v>223</v>
      </c>
      <c r="D1739" s="35" t="s">
        <v>236</v>
      </c>
      <c r="E1739" s="35">
        <v>3</v>
      </c>
      <c r="F1739" s="35" t="s">
        <v>85</v>
      </c>
      <c r="G1739" s="35">
        <v>8.0399999999999991</v>
      </c>
    </row>
    <row r="1740" spans="1:7" x14ac:dyDescent="0.2">
      <c r="A1740" s="35" t="s">
        <v>75</v>
      </c>
      <c r="B1740" s="35" t="s">
        <v>221</v>
      </c>
      <c r="C1740" s="35" t="s">
        <v>65</v>
      </c>
      <c r="D1740" s="35" t="s">
        <v>222</v>
      </c>
      <c r="E1740" s="35">
        <v>3</v>
      </c>
      <c r="F1740" s="35" t="s">
        <v>85</v>
      </c>
      <c r="G1740" s="35">
        <v>8.1999999999999993</v>
      </c>
    </row>
    <row r="1741" spans="1:7" x14ac:dyDescent="0.2">
      <c r="A1741" s="35" t="s">
        <v>75</v>
      </c>
      <c r="B1741" s="35" t="s">
        <v>221</v>
      </c>
      <c r="C1741" s="35" t="s">
        <v>223</v>
      </c>
      <c r="D1741" s="35" t="s">
        <v>224</v>
      </c>
      <c r="E1741" s="35">
        <v>3</v>
      </c>
      <c r="F1741" s="35" t="s">
        <v>85</v>
      </c>
      <c r="G1741" s="35">
        <v>7.98</v>
      </c>
    </row>
    <row r="1742" spans="1:7" x14ac:dyDescent="0.2">
      <c r="A1742" s="35" t="s">
        <v>52</v>
      </c>
      <c r="B1742" s="35" t="s">
        <v>52</v>
      </c>
      <c r="C1742" s="35" t="s">
        <v>65</v>
      </c>
      <c r="D1742" s="35" t="s">
        <v>237</v>
      </c>
      <c r="E1742" s="35">
        <v>3</v>
      </c>
      <c r="F1742" s="35" t="s">
        <v>85</v>
      </c>
      <c r="G1742" s="35">
        <v>8</v>
      </c>
    </row>
    <row r="1743" spans="1:7" x14ac:dyDescent="0.2">
      <c r="A1743" s="35" t="s">
        <v>52</v>
      </c>
      <c r="B1743" s="35" t="s">
        <v>52</v>
      </c>
      <c r="C1743" s="35" t="s">
        <v>65</v>
      </c>
      <c r="D1743" s="35" t="s">
        <v>238</v>
      </c>
      <c r="E1743" s="35">
        <v>3</v>
      </c>
      <c r="F1743" s="35" t="s">
        <v>85</v>
      </c>
      <c r="G1743" s="35">
        <v>8.0500000000000007</v>
      </c>
    </row>
    <row r="1744" spans="1:7" x14ac:dyDescent="0.2">
      <c r="A1744" s="35" t="s">
        <v>52</v>
      </c>
      <c r="B1744" s="35" t="s">
        <v>52</v>
      </c>
      <c r="C1744" s="35" t="s">
        <v>65</v>
      </c>
      <c r="D1744" s="35" t="s">
        <v>239</v>
      </c>
      <c r="E1744" s="35">
        <v>3</v>
      </c>
      <c r="F1744" s="35" t="s">
        <v>85</v>
      </c>
      <c r="G1744" s="35">
        <v>8.07</v>
      </c>
    </row>
    <row r="1745" spans="1:7" x14ac:dyDescent="0.2">
      <c r="A1745" s="35" t="s">
        <v>52</v>
      </c>
      <c r="B1745" s="35" t="s">
        <v>52</v>
      </c>
      <c r="C1745" s="35" t="s">
        <v>65</v>
      </c>
      <c r="D1745" s="35" t="s">
        <v>240</v>
      </c>
      <c r="E1745" s="35">
        <v>3</v>
      </c>
      <c r="F1745" s="35" t="s">
        <v>85</v>
      </c>
      <c r="G1745" s="35">
        <v>8.01</v>
      </c>
    </row>
    <row r="1746" spans="1:7" x14ac:dyDescent="0.2">
      <c r="A1746" s="35" t="s">
        <v>52</v>
      </c>
      <c r="B1746" s="35" t="s">
        <v>52</v>
      </c>
      <c r="C1746" s="35" t="s">
        <v>65</v>
      </c>
      <c r="D1746" s="35" t="s">
        <v>245</v>
      </c>
      <c r="E1746" s="35">
        <v>3</v>
      </c>
      <c r="F1746" s="35" t="s">
        <v>85</v>
      </c>
      <c r="G1746" s="35">
        <v>8.0500000000000007</v>
      </c>
    </row>
    <row r="1747" spans="1:7" x14ac:dyDescent="0.2">
      <c r="A1747" s="35" t="s">
        <v>52</v>
      </c>
      <c r="B1747" s="35" t="s">
        <v>52</v>
      </c>
      <c r="C1747" s="35" t="s">
        <v>223</v>
      </c>
      <c r="D1747" s="35" t="s">
        <v>241</v>
      </c>
      <c r="E1747" s="35">
        <v>3</v>
      </c>
      <c r="F1747" s="35" t="s">
        <v>85</v>
      </c>
      <c r="G1747" s="35">
        <v>7.89</v>
      </c>
    </row>
    <row r="1748" spans="1:7" x14ac:dyDescent="0.2">
      <c r="A1748" s="35" t="s">
        <v>52</v>
      </c>
      <c r="B1748" s="35" t="s">
        <v>52</v>
      </c>
      <c r="C1748" s="35" t="s">
        <v>223</v>
      </c>
      <c r="D1748" s="35" t="s">
        <v>246</v>
      </c>
      <c r="E1748" s="35">
        <v>3</v>
      </c>
      <c r="F1748" s="35" t="s">
        <v>85</v>
      </c>
      <c r="G1748" s="35">
        <v>0</v>
      </c>
    </row>
    <row r="1749" spans="1:7" x14ac:dyDescent="0.2">
      <c r="A1749" s="35" t="s">
        <v>52</v>
      </c>
      <c r="B1749" s="35" t="s">
        <v>52</v>
      </c>
      <c r="C1749" s="35" t="s">
        <v>223</v>
      </c>
      <c r="D1749" s="35" t="s">
        <v>242</v>
      </c>
      <c r="E1749" s="35">
        <v>3</v>
      </c>
      <c r="F1749" s="35" t="s">
        <v>85</v>
      </c>
      <c r="G1749" s="35">
        <v>8</v>
      </c>
    </row>
    <row r="1750" spans="1:7" x14ac:dyDescent="0.2">
      <c r="A1750" s="35" t="s">
        <v>52</v>
      </c>
      <c r="B1750" s="35" t="s">
        <v>52</v>
      </c>
      <c r="C1750" s="35" t="s">
        <v>223</v>
      </c>
      <c r="D1750" s="35" t="s">
        <v>243</v>
      </c>
      <c r="E1750" s="35">
        <v>3</v>
      </c>
      <c r="F1750" s="35" t="s">
        <v>85</v>
      </c>
      <c r="G1750" s="35">
        <v>8.01</v>
      </c>
    </row>
    <row r="1751" spans="1:7" x14ac:dyDescent="0.2">
      <c r="A1751" s="35" t="s">
        <v>52</v>
      </c>
      <c r="B1751" s="35" t="s">
        <v>52</v>
      </c>
      <c r="C1751" s="35" t="s">
        <v>223</v>
      </c>
      <c r="D1751" s="35" t="s">
        <v>244</v>
      </c>
      <c r="E1751" s="35">
        <v>3</v>
      </c>
      <c r="F1751" s="35" t="s">
        <v>85</v>
      </c>
      <c r="G1751" s="35">
        <v>8.01</v>
      </c>
    </row>
    <row r="1752" spans="1:7" x14ac:dyDescent="0.2">
      <c r="A1752" s="35" t="s">
        <v>52</v>
      </c>
      <c r="B1752" s="35" t="s">
        <v>221</v>
      </c>
      <c r="C1752" s="35" t="s">
        <v>65</v>
      </c>
      <c r="D1752" s="35" t="s">
        <v>225</v>
      </c>
      <c r="E1752" s="35">
        <v>3</v>
      </c>
      <c r="F1752" s="35" t="s">
        <v>85</v>
      </c>
      <c r="G1752" s="35">
        <v>8.06</v>
      </c>
    </row>
    <row r="1753" spans="1:7" x14ac:dyDescent="0.2">
      <c r="A1753" s="35" t="s">
        <v>52</v>
      </c>
      <c r="B1753" s="35" t="s">
        <v>221</v>
      </c>
      <c r="C1753" s="35" t="s">
        <v>223</v>
      </c>
      <c r="D1753" s="35" t="s">
        <v>226</v>
      </c>
      <c r="E1753" s="35">
        <v>3</v>
      </c>
      <c r="F1753" s="35" t="s">
        <v>85</v>
      </c>
      <c r="G1753" s="35">
        <v>8.01</v>
      </c>
    </row>
    <row r="1754" spans="1:7" x14ac:dyDescent="0.2">
      <c r="A1754" s="35" t="s">
        <v>75</v>
      </c>
      <c r="B1754" s="35" t="s">
        <v>75</v>
      </c>
      <c r="C1754" s="35" t="s">
        <v>65</v>
      </c>
      <c r="D1754" s="35" t="s">
        <v>233</v>
      </c>
      <c r="E1754" s="35">
        <v>6</v>
      </c>
      <c r="F1754" s="35" t="s">
        <v>85</v>
      </c>
      <c r="G1754" s="35">
        <v>7.67</v>
      </c>
    </row>
    <row r="1755" spans="1:7" x14ac:dyDescent="0.2">
      <c r="A1755" s="35" t="s">
        <v>75</v>
      </c>
      <c r="B1755" s="35" t="s">
        <v>75</v>
      </c>
      <c r="C1755" s="35" t="s">
        <v>65</v>
      </c>
      <c r="D1755" s="35" t="s">
        <v>227</v>
      </c>
      <c r="E1755" s="35">
        <v>6</v>
      </c>
      <c r="F1755" s="35" t="s">
        <v>85</v>
      </c>
      <c r="G1755" s="35">
        <v>7.81</v>
      </c>
    </row>
    <row r="1756" spans="1:7" x14ac:dyDescent="0.2">
      <c r="A1756" s="35" t="s">
        <v>75</v>
      </c>
      <c r="B1756" s="35" t="s">
        <v>75</v>
      </c>
      <c r="C1756" s="35" t="s">
        <v>65</v>
      </c>
      <c r="D1756" s="35" t="s">
        <v>228</v>
      </c>
      <c r="E1756" s="35">
        <v>6</v>
      </c>
      <c r="F1756" s="35" t="s">
        <v>85</v>
      </c>
      <c r="G1756" s="35">
        <v>7.94</v>
      </c>
    </row>
    <row r="1757" spans="1:7" x14ac:dyDescent="0.2">
      <c r="A1757" s="35" t="s">
        <v>75</v>
      </c>
      <c r="B1757" s="35" t="s">
        <v>75</v>
      </c>
      <c r="C1757" s="35" t="s">
        <v>65</v>
      </c>
      <c r="D1757" s="35" t="s">
        <v>229</v>
      </c>
      <c r="E1757" s="35">
        <v>6</v>
      </c>
      <c r="F1757" s="35" t="s">
        <v>85</v>
      </c>
      <c r="G1757" s="35">
        <v>7.93</v>
      </c>
    </row>
    <row r="1758" spans="1:7" x14ac:dyDescent="0.2">
      <c r="A1758" s="35" t="s">
        <v>75</v>
      </c>
      <c r="B1758" s="35" t="s">
        <v>75</v>
      </c>
      <c r="C1758" s="35" t="s">
        <v>65</v>
      </c>
      <c r="D1758" s="35" t="s">
        <v>234</v>
      </c>
      <c r="E1758" s="35">
        <v>6</v>
      </c>
      <c r="F1758" s="35" t="s">
        <v>85</v>
      </c>
      <c r="G1758" s="35">
        <v>7.93</v>
      </c>
    </row>
    <row r="1759" spans="1:7" x14ac:dyDescent="0.2">
      <c r="A1759" s="35" t="s">
        <v>75</v>
      </c>
      <c r="B1759" s="35" t="s">
        <v>75</v>
      </c>
      <c r="C1759" s="35" t="s">
        <v>223</v>
      </c>
      <c r="D1759" s="35" t="s">
        <v>230</v>
      </c>
      <c r="E1759" s="35">
        <v>6</v>
      </c>
      <c r="F1759" s="35" t="s">
        <v>85</v>
      </c>
      <c r="G1759" s="35">
        <v>7.86</v>
      </c>
    </row>
    <row r="1760" spans="1:7" x14ac:dyDescent="0.2">
      <c r="A1760" s="35" t="s">
        <v>75</v>
      </c>
      <c r="B1760" s="35" t="s">
        <v>75</v>
      </c>
      <c r="C1760" s="35" t="s">
        <v>223</v>
      </c>
      <c r="D1760" s="35" t="s">
        <v>231</v>
      </c>
      <c r="E1760" s="35">
        <v>6</v>
      </c>
      <c r="F1760" s="35" t="s">
        <v>85</v>
      </c>
      <c r="G1760" s="35">
        <v>7.86</v>
      </c>
    </row>
    <row r="1761" spans="1:7" x14ac:dyDescent="0.2">
      <c r="A1761" s="35" t="s">
        <v>75</v>
      </c>
      <c r="B1761" s="35" t="s">
        <v>75</v>
      </c>
      <c r="C1761" s="35" t="s">
        <v>223</v>
      </c>
      <c r="D1761" s="35" t="s">
        <v>235</v>
      </c>
      <c r="E1761" s="35">
        <v>6</v>
      </c>
      <c r="F1761" s="35" t="s">
        <v>85</v>
      </c>
      <c r="G1761" s="35">
        <v>7.91</v>
      </c>
    </row>
    <row r="1762" spans="1:7" x14ac:dyDescent="0.2">
      <c r="A1762" s="35" t="s">
        <v>75</v>
      </c>
      <c r="B1762" s="35" t="s">
        <v>75</v>
      </c>
      <c r="C1762" s="35" t="s">
        <v>223</v>
      </c>
      <c r="D1762" s="35" t="s">
        <v>232</v>
      </c>
      <c r="E1762" s="35">
        <v>6</v>
      </c>
      <c r="F1762" s="35" t="s">
        <v>85</v>
      </c>
      <c r="G1762" s="35">
        <v>7.9</v>
      </c>
    </row>
    <row r="1763" spans="1:7" x14ac:dyDescent="0.2">
      <c r="A1763" s="35" t="s">
        <v>75</v>
      </c>
      <c r="B1763" s="35" t="s">
        <v>75</v>
      </c>
      <c r="C1763" s="35" t="s">
        <v>223</v>
      </c>
      <c r="D1763" s="35" t="s">
        <v>236</v>
      </c>
      <c r="E1763" s="35">
        <v>6</v>
      </c>
      <c r="F1763" s="35" t="s">
        <v>85</v>
      </c>
      <c r="G1763" s="35">
        <v>7.9</v>
      </c>
    </row>
    <row r="1764" spans="1:7" x14ac:dyDescent="0.2">
      <c r="A1764" s="35" t="s">
        <v>75</v>
      </c>
      <c r="B1764" s="35" t="s">
        <v>221</v>
      </c>
      <c r="C1764" s="35" t="s">
        <v>65</v>
      </c>
      <c r="D1764" s="35" t="s">
        <v>222</v>
      </c>
      <c r="E1764" s="35">
        <v>6</v>
      </c>
      <c r="F1764" s="35" t="s">
        <v>85</v>
      </c>
      <c r="G1764" s="35">
        <v>7.89</v>
      </c>
    </row>
    <row r="1765" spans="1:7" x14ac:dyDescent="0.2">
      <c r="A1765" s="35" t="s">
        <v>75</v>
      </c>
      <c r="B1765" s="35" t="s">
        <v>221</v>
      </c>
      <c r="C1765" s="35" t="s">
        <v>223</v>
      </c>
      <c r="D1765" s="35" t="s">
        <v>224</v>
      </c>
      <c r="E1765" s="35">
        <v>6</v>
      </c>
      <c r="F1765" s="35" t="s">
        <v>85</v>
      </c>
      <c r="G1765" s="35">
        <v>7.91</v>
      </c>
    </row>
    <row r="1766" spans="1:7" x14ac:dyDescent="0.2">
      <c r="A1766" s="35" t="s">
        <v>52</v>
      </c>
      <c r="B1766" s="35" t="s">
        <v>52</v>
      </c>
      <c r="C1766" s="35" t="s">
        <v>65</v>
      </c>
      <c r="D1766" s="35" t="s">
        <v>237</v>
      </c>
      <c r="E1766" s="35">
        <v>6</v>
      </c>
      <c r="F1766" s="35" t="s">
        <v>85</v>
      </c>
      <c r="G1766" s="35">
        <v>8.16</v>
      </c>
    </row>
    <row r="1767" spans="1:7" x14ac:dyDescent="0.2">
      <c r="A1767" s="35" t="s">
        <v>52</v>
      </c>
      <c r="B1767" s="35" t="s">
        <v>52</v>
      </c>
      <c r="C1767" s="35" t="s">
        <v>65</v>
      </c>
      <c r="D1767" s="35" t="s">
        <v>238</v>
      </c>
      <c r="E1767" s="35">
        <v>6</v>
      </c>
      <c r="F1767" s="35" t="s">
        <v>85</v>
      </c>
      <c r="G1767" s="35">
        <v>8.17</v>
      </c>
    </row>
    <row r="1768" spans="1:7" x14ac:dyDescent="0.2">
      <c r="A1768" s="35" t="s">
        <v>52</v>
      </c>
      <c r="B1768" s="35" t="s">
        <v>52</v>
      </c>
      <c r="C1768" s="35" t="s">
        <v>65</v>
      </c>
      <c r="D1768" s="35" t="s">
        <v>239</v>
      </c>
      <c r="E1768" s="35">
        <v>6</v>
      </c>
      <c r="F1768" s="35" t="s">
        <v>85</v>
      </c>
      <c r="G1768" s="35">
        <v>8.1999999999999993</v>
      </c>
    </row>
    <row r="1769" spans="1:7" x14ac:dyDescent="0.2">
      <c r="A1769" s="35" t="s">
        <v>52</v>
      </c>
      <c r="B1769" s="35" t="s">
        <v>52</v>
      </c>
      <c r="C1769" s="35" t="s">
        <v>65</v>
      </c>
      <c r="D1769" s="35" t="s">
        <v>240</v>
      </c>
      <c r="E1769" s="35">
        <v>6</v>
      </c>
      <c r="F1769" s="35" t="s">
        <v>85</v>
      </c>
      <c r="G1769" s="35">
        <v>8.18</v>
      </c>
    </row>
    <row r="1770" spans="1:7" x14ac:dyDescent="0.2">
      <c r="A1770" s="35" t="s">
        <v>52</v>
      </c>
      <c r="B1770" s="35" t="s">
        <v>52</v>
      </c>
      <c r="C1770" s="35" t="s">
        <v>65</v>
      </c>
      <c r="D1770" s="35" t="s">
        <v>245</v>
      </c>
      <c r="E1770" s="35">
        <v>6</v>
      </c>
      <c r="F1770" s="35" t="s">
        <v>85</v>
      </c>
      <c r="G1770" s="35">
        <v>8.19</v>
      </c>
    </row>
    <row r="1771" spans="1:7" x14ac:dyDescent="0.2">
      <c r="A1771" s="35" t="s">
        <v>52</v>
      </c>
      <c r="B1771" s="35" t="s">
        <v>52</v>
      </c>
      <c r="C1771" s="35" t="s">
        <v>223</v>
      </c>
      <c r="D1771" s="35" t="s">
        <v>241</v>
      </c>
      <c r="E1771" s="35">
        <v>6</v>
      </c>
      <c r="F1771" s="35" t="s">
        <v>85</v>
      </c>
      <c r="G1771" s="35">
        <v>8</v>
      </c>
    </row>
    <row r="1772" spans="1:7" x14ac:dyDescent="0.2">
      <c r="A1772" s="35" t="s">
        <v>52</v>
      </c>
      <c r="B1772" s="35" t="s">
        <v>52</v>
      </c>
      <c r="C1772" s="35" t="s">
        <v>223</v>
      </c>
      <c r="D1772" s="35" t="s">
        <v>246</v>
      </c>
      <c r="E1772" s="35">
        <v>6</v>
      </c>
      <c r="F1772" s="35" t="s">
        <v>85</v>
      </c>
      <c r="G1772" s="35">
        <v>8.01</v>
      </c>
    </row>
    <row r="1773" spans="1:7" x14ac:dyDescent="0.2">
      <c r="A1773" s="35" t="s">
        <v>52</v>
      </c>
      <c r="B1773" s="35" t="s">
        <v>52</v>
      </c>
      <c r="C1773" s="35" t="s">
        <v>223</v>
      </c>
      <c r="D1773" s="35" t="s">
        <v>242</v>
      </c>
      <c r="E1773" s="35">
        <v>6</v>
      </c>
      <c r="F1773" s="35" t="s">
        <v>85</v>
      </c>
      <c r="G1773" s="35">
        <v>8.02</v>
      </c>
    </row>
    <row r="1774" spans="1:7" x14ac:dyDescent="0.2">
      <c r="A1774" s="35" t="s">
        <v>52</v>
      </c>
      <c r="B1774" s="35" t="s">
        <v>52</v>
      </c>
      <c r="C1774" s="35" t="s">
        <v>223</v>
      </c>
      <c r="D1774" s="35" t="s">
        <v>243</v>
      </c>
      <c r="E1774" s="35">
        <v>6</v>
      </c>
      <c r="F1774" s="35" t="s">
        <v>85</v>
      </c>
      <c r="G1774" s="35">
        <v>8.0399999999999991</v>
      </c>
    </row>
    <row r="1775" spans="1:7" x14ac:dyDescent="0.2">
      <c r="A1775" s="35" t="s">
        <v>52</v>
      </c>
      <c r="B1775" s="35" t="s">
        <v>52</v>
      </c>
      <c r="C1775" s="35" t="s">
        <v>223</v>
      </c>
      <c r="D1775" s="35" t="s">
        <v>244</v>
      </c>
      <c r="E1775" s="35">
        <v>6</v>
      </c>
      <c r="F1775" s="35" t="s">
        <v>85</v>
      </c>
      <c r="G1775" s="35">
        <v>8.0399999999999991</v>
      </c>
    </row>
    <row r="1776" spans="1:7" x14ac:dyDescent="0.2">
      <c r="A1776" s="35" t="s">
        <v>52</v>
      </c>
      <c r="B1776" s="35" t="s">
        <v>221</v>
      </c>
      <c r="C1776" s="35" t="s">
        <v>65</v>
      </c>
      <c r="D1776" s="35" t="s">
        <v>225</v>
      </c>
      <c r="E1776" s="35">
        <v>6</v>
      </c>
      <c r="F1776" s="35" t="s">
        <v>85</v>
      </c>
      <c r="G1776" s="35">
        <v>8.1</v>
      </c>
    </row>
    <row r="1777" spans="1:7" x14ac:dyDescent="0.2">
      <c r="A1777" s="35" t="s">
        <v>52</v>
      </c>
      <c r="B1777" s="35" t="s">
        <v>221</v>
      </c>
      <c r="C1777" s="35" t="s">
        <v>223</v>
      </c>
      <c r="D1777" s="35" t="s">
        <v>226</v>
      </c>
      <c r="E1777" s="35">
        <v>6</v>
      </c>
      <c r="F1777" s="35" t="s">
        <v>85</v>
      </c>
      <c r="G1777" s="35">
        <v>8.0500000000000007</v>
      </c>
    </row>
    <row r="1778" spans="1:7" x14ac:dyDescent="0.2">
      <c r="A1778" s="35" t="s">
        <v>75</v>
      </c>
      <c r="B1778" s="35" t="s">
        <v>75</v>
      </c>
      <c r="C1778" s="35" t="s">
        <v>65</v>
      </c>
      <c r="D1778" s="35" t="s">
        <v>233</v>
      </c>
      <c r="E1778" s="35">
        <v>9</v>
      </c>
      <c r="F1778" s="35" t="s">
        <v>85</v>
      </c>
      <c r="G1778" s="35">
        <v>8.02</v>
      </c>
    </row>
    <row r="1779" spans="1:7" x14ac:dyDescent="0.2">
      <c r="A1779" s="35" t="s">
        <v>75</v>
      </c>
      <c r="B1779" s="35" t="s">
        <v>75</v>
      </c>
      <c r="C1779" s="35" t="s">
        <v>65</v>
      </c>
      <c r="D1779" s="35" t="s">
        <v>227</v>
      </c>
      <c r="E1779" s="35">
        <v>9</v>
      </c>
      <c r="F1779" s="35" t="s">
        <v>85</v>
      </c>
      <c r="G1779" s="35">
        <v>8.06</v>
      </c>
    </row>
    <row r="1780" spans="1:7" x14ac:dyDescent="0.2">
      <c r="A1780" s="35" t="s">
        <v>75</v>
      </c>
      <c r="B1780" s="35" t="s">
        <v>75</v>
      </c>
      <c r="C1780" s="35" t="s">
        <v>65</v>
      </c>
      <c r="D1780" s="35" t="s">
        <v>228</v>
      </c>
      <c r="E1780" s="35">
        <v>9</v>
      </c>
      <c r="F1780" s="35" t="s">
        <v>85</v>
      </c>
      <c r="G1780" s="35">
        <v>8.1199999999999992</v>
      </c>
    </row>
    <row r="1781" spans="1:7" x14ac:dyDescent="0.2">
      <c r="A1781" s="35" t="s">
        <v>75</v>
      </c>
      <c r="B1781" s="35" t="s">
        <v>75</v>
      </c>
      <c r="C1781" s="35" t="s">
        <v>65</v>
      </c>
      <c r="D1781" s="35" t="s">
        <v>229</v>
      </c>
      <c r="E1781" s="35">
        <v>9</v>
      </c>
      <c r="F1781" s="35" t="s">
        <v>85</v>
      </c>
      <c r="G1781" s="35">
        <v>8.07</v>
      </c>
    </row>
    <row r="1782" spans="1:7" x14ac:dyDescent="0.2">
      <c r="A1782" s="35" t="s">
        <v>75</v>
      </c>
      <c r="B1782" s="35" t="s">
        <v>75</v>
      </c>
      <c r="C1782" s="35" t="s">
        <v>65</v>
      </c>
      <c r="D1782" s="35" t="s">
        <v>234</v>
      </c>
      <c r="E1782" s="35">
        <v>9</v>
      </c>
      <c r="F1782" s="35" t="s">
        <v>85</v>
      </c>
      <c r="G1782" s="35">
        <v>8.08</v>
      </c>
    </row>
    <row r="1783" spans="1:7" x14ac:dyDescent="0.2">
      <c r="A1783" s="35" t="s">
        <v>75</v>
      </c>
      <c r="B1783" s="35" t="s">
        <v>75</v>
      </c>
      <c r="C1783" s="35" t="s">
        <v>223</v>
      </c>
      <c r="D1783" s="35" t="s">
        <v>230</v>
      </c>
      <c r="E1783" s="35">
        <v>9</v>
      </c>
      <c r="F1783" s="35" t="s">
        <v>85</v>
      </c>
      <c r="G1783" s="35">
        <v>7.95</v>
      </c>
    </row>
    <row r="1784" spans="1:7" x14ac:dyDescent="0.2">
      <c r="A1784" s="35" t="s">
        <v>75</v>
      </c>
      <c r="B1784" s="35" t="s">
        <v>75</v>
      </c>
      <c r="C1784" s="35" t="s">
        <v>223</v>
      </c>
      <c r="D1784" s="35" t="s">
        <v>231</v>
      </c>
      <c r="E1784" s="35">
        <v>9</v>
      </c>
      <c r="F1784" s="35" t="s">
        <v>85</v>
      </c>
      <c r="G1784" s="35">
        <v>7.89</v>
      </c>
    </row>
    <row r="1785" spans="1:7" x14ac:dyDescent="0.2">
      <c r="A1785" s="35" t="s">
        <v>75</v>
      </c>
      <c r="B1785" s="35" t="s">
        <v>75</v>
      </c>
      <c r="C1785" s="35" t="s">
        <v>223</v>
      </c>
      <c r="D1785" s="35" t="s">
        <v>235</v>
      </c>
      <c r="E1785" s="35">
        <v>9</v>
      </c>
      <c r="F1785" s="35" t="s">
        <v>85</v>
      </c>
      <c r="G1785" s="35">
        <v>7.89</v>
      </c>
    </row>
    <row r="1786" spans="1:7" x14ac:dyDescent="0.2">
      <c r="A1786" s="35" t="s">
        <v>75</v>
      </c>
      <c r="B1786" s="35" t="s">
        <v>75</v>
      </c>
      <c r="C1786" s="35" t="s">
        <v>223</v>
      </c>
      <c r="D1786" s="35" t="s">
        <v>232</v>
      </c>
      <c r="E1786" s="35">
        <v>9</v>
      </c>
      <c r="F1786" s="35" t="s">
        <v>85</v>
      </c>
      <c r="G1786" s="35">
        <v>7.9</v>
      </c>
    </row>
    <row r="1787" spans="1:7" x14ac:dyDescent="0.2">
      <c r="A1787" s="35" t="s">
        <v>75</v>
      </c>
      <c r="B1787" s="35" t="s">
        <v>75</v>
      </c>
      <c r="C1787" s="35" t="s">
        <v>223</v>
      </c>
      <c r="D1787" s="35" t="s">
        <v>236</v>
      </c>
      <c r="E1787" s="35">
        <v>9</v>
      </c>
      <c r="F1787" s="35" t="s">
        <v>85</v>
      </c>
      <c r="G1787" s="35">
        <v>7.93</v>
      </c>
    </row>
    <row r="1788" spans="1:7" x14ac:dyDescent="0.2">
      <c r="A1788" s="35" t="s">
        <v>75</v>
      </c>
      <c r="B1788" s="35" t="s">
        <v>221</v>
      </c>
      <c r="C1788" s="35" t="s">
        <v>65</v>
      </c>
      <c r="D1788" s="35" t="s">
        <v>222</v>
      </c>
      <c r="E1788" s="35">
        <v>9</v>
      </c>
      <c r="F1788" s="35" t="s">
        <v>85</v>
      </c>
      <c r="G1788" s="35">
        <v>8.0500000000000007</v>
      </c>
    </row>
    <row r="1789" spans="1:7" x14ac:dyDescent="0.2">
      <c r="A1789" s="35" t="s">
        <v>75</v>
      </c>
      <c r="B1789" s="35" t="s">
        <v>221</v>
      </c>
      <c r="C1789" s="35" t="s">
        <v>223</v>
      </c>
      <c r="D1789" s="35" t="s">
        <v>224</v>
      </c>
      <c r="E1789" s="35">
        <v>9</v>
      </c>
      <c r="F1789" s="35" t="s">
        <v>85</v>
      </c>
      <c r="G1789" s="35">
        <v>7.92</v>
      </c>
    </row>
    <row r="1790" spans="1:7" x14ac:dyDescent="0.2">
      <c r="A1790" s="35" t="s">
        <v>52</v>
      </c>
      <c r="B1790" s="35" t="s">
        <v>52</v>
      </c>
      <c r="C1790" s="35" t="s">
        <v>65</v>
      </c>
      <c r="D1790" s="35" t="s">
        <v>237</v>
      </c>
      <c r="E1790" s="35">
        <v>9</v>
      </c>
      <c r="F1790" s="35" t="s">
        <v>85</v>
      </c>
      <c r="G1790" s="35">
        <v>8.02</v>
      </c>
    </row>
    <row r="1791" spans="1:7" x14ac:dyDescent="0.2">
      <c r="A1791" s="35" t="s">
        <v>52</v>
      </c>
      <c r="B1791" s="35" t="s">
        <v>52</v>
      </c>
      <c r="C1791" s="35" t="s">
        <v>65</v>
      </c>
      <c r="D1791" s="35" t="s">
        <v>238</v>
      </c>
      <c r="E1791" s="35">
        <v>9</v>
      </c>
      <c r="F1791" s="35" t="s">
        <v>85</v>
      </c>
      <c r="G1791" s="35">
        <v>8.06</v>
      </c>
    </row>
    <row r="1792" spans="1:7" x14ac:dyDescent="0.2">
      <c r="A1792" s="35" t="s">
        <v>52</v>
      </c>
      <c r="B1792" s="35" t="s">
        <v>52</v>
      </c>
      <c r="C1792" s="35" t="s">
        <v>65</v>
      </c>
      <c r="D1792" s="35" t="s">
        <v>239</v>
      </c>
      <c r="E1792" s="35">
        <v>9</v>
      </c>
      <c r="F1792" s="35" t="s">
        <v>85</v>
      </c>
      <c r="G1792" s="35">
        <v>8.09</v>
      </c>
    </row>
    <row r="1793" spans="1:7" x14ac:dyDescent="0.2">
      <c r="A1793" s="35" t="s">
        <v>52</v>
      </c>
      <c r="B1793" s="35" t="s">
        <v>52</v>
      </c>
      <c r="C1793" s="35" t="s">
        <v>65</v>
      </c>
      <c r="D1793" s="35" t="s">
        <v>240</v>
      </c>
      <c r="E1793" s="35">
        <v>9</v>
      </c>
      <c r="F1793" s="35" t="s">
        <v>85</v>
      </c>
      <c r="G1793" s="35">
        <v>8.1199999999999992</v>
      </c>
    </row>
    <row r="1794" spans="1:7" x14ac:dyDescent="0.2">
      <c r="A1794" s="35" t="s">
        <v>52</v>
      </c>
      <c r="B1794" s="35" t="s">
        <v>52</v>
      </c>
      <c r="C1794" s="35" t="s">
        <v>65</v>
      </c>
      <c r="D1794" s="35" t="s">
        <v>245</v>
      </c>
      <c r="E1794" s="35">
        <v>9</v>
      </c>
      <c r="F1794" s="35" t="s">
        <v>85</v>
      </c>
      <c r="G1794" s="35">
        <v>8.06</v>
      </c>
    </row>
    <row r="1795" spans="1:7" x14ac:dyDescent="0.2">
      <c r="A1795" s="35" t="s">
        <v>52</v>
      </c>
      <c r="B1795" s="35" t="s">
        <v>52</v>
      </c>
      <c r="C1795" s="35" t="s">
        <v>223</v>
      </c>
      <c r="D1795" s="35" t="s">
        <v>241</v>
      </c>
      <c r="E1795" s="35">
        <v>9</v>
      </c>
      <c r="F1795" s="35" t="s">
        <v>85</v>
      </c>
      <c r="G1795" s="35">
        <v>8</v>
      </c>
    </row>
    <row r="1796" spans="1:7" x14ac:dyDescent="0.2">
      <c r="A1796" s="35" t="s">
        <v>52</v>
      </c>
      <c r="B1796" s="35" t="s">
        <v>52</v>
      </c>
      <c r="C1796" s="35" t="s">
        <v>223</v>
      </c>
      <c r="D1796" s="35" t="s">
        <v>246</v>
      </c>
      <c r="E1796" s="35">
        <v>9</v>
      </c>
      <c r="F1796" s="35" t="s">
        <v>85</v>
      </c>
      <c r="G1796" s="35">
        <v>8.02</v>
      </c>
    </row>
    <row r="1797" spans="1:7" x14ac:dyDescent="0.2">
      <c r="A1797" s="35" t="s">
        <v>52</v>
      </c>
      <c r="B1797" s="35" t="s">
        <v>52</v>
      </c>
      <c r="C1797" s="35" t="s">
        <v>223</v>
      </c>
      <c r="D1797" s="35" t="s">
        <v>242</v>
      </c>
      <c r="E1797" s="35">
        <v>9</v>
      </c>
      <c r="F1797" s="35" t="s">
        <v>85</v>
      </c>
      <c r="G1797" s="35">
        <v>8.0299999999999994</v>
      </c>
    </row>
    <row r="1798" spans="1:7" x14ac:dyDescent="0.2">
      <c r="A1798" s="35" t="s">
        <v>52</v>
      </c>
      <c r="B1798" s="35" t="s">
        <v>52</v>
      </c>
      <c r="C1798" s="35" t="s">
        <v>223</v>
      </c>
      <c r="D1798" s="35" t="s">
        <v>243</v>
      </c>
      <c r="E1798" s="35">
        <v>9</v>
      </c>
      <c r="F1798" s="35" t="s">
        <v>85</v>
      </c>
      <c r="G1798" s="35">
        <v>8.0399999999999991</v>
      </c>
    </row>
    <row r="1799" spans="1:7" x14ac:dyDescent="0.2">
      <c r="A1799" s="35" t="s">
        <v>52</v>
      </c>
      <c r="B1799" s="35" t="s">
        <v>52</v>
      </c>
      <c r="C1799" s="35" t="s">
        <v>223</v>
      </c>
      <c r="D1799" s="35" t="s">
        <v>244</v>
      </c>
      <c r="E1799" s="35">
        <v>9</v>
      </c>
      <c r="F1799" s="35" t="s">
        <v>85</v>
      </c>
      <c r="G1799" s="35">
        <v>8.0299999999999994</v>
      </c>
    </row>
    <row r="1800" spans="1:7" x14ac:dyDescent="0.2">
      <c r="A1800" s="35" t="s">
        <v>52</v>
      </c>
      <c r="B1800" s="35" t="s">
        <v>221</v>
      </c>
      <c r="C1800" s="35" t="s">
        <v>65</v>
      </c>
      <c r="D1800" s="35" t="s">
        <v>225</v>
      </c>
      <c r="E1800" s="35">
        <v>9</v>
      </c>
      <c r="F1800" s="35" t="s">
        <v>85</v>
      </c>
      <c r="G1800" s="35">
        <v>8.18</v>
      </c>
    </row>
    <row r="1801" spans="1:7" x14ac:dyDescent="0.2">
      <c r="A1801" s="35" t="s">
        <v>52</v>
      </c>
      <c r="B1801" s="35" t="s">
        <v>221</v>
      </c>
      <c r="C1801" s="35" t="s">
        <v>223</v>
      </c>
      <c r="D1801" s="35" t="s">
        <v>226</v>
      </c>
      <c r="E1801" s="35">
        <v>9</v>
      </c>
      <c r="F1801" s="35" t="s">
        <v>85</v>
      </c>
      <c r="G1801" s="35">
        <v>8.0500000000000007</v>
      </c>
    </row>
    <row r="1802" spans="1:7" x14ac:dyDescent="0.2">
      <c r="A1802" s="35" t="s">
        <v>75</v>
      </c>
      <c r="B1802" s="35" t="s">
        <v>75</v>
      </c>
      <c r="C1802" s="35" t="s">
        <v>65</v>
      </c>
      <c r="D1802" s="35" t="s">
        <v>233</v>
      </c>
      <c r="E1802" s="35">
        <v>12</v>
      </c>
      <c r="F1802" s="35" t="s">
        <v>85</v>
      </c>
      <c r="G1802" s="35">
        <v>8</v>
      </c>
    </row>
    <row r="1803" spans="1:7" x14ac:dyDescent="0.2">
      <c r="A1803" s="35" t="s">
        <v>75</v>
      </c>
      <c r="B1803" s="35" t="s">
        <v>75</v>
      </c>
      <c r="C1803" s="35" t="s">
        <v>65</v>
      </c>
      <c r="D1803" s="35" t="s">
        <v>227</v>
      </c>
      <c r="E1803" s="35">
        <v>12</v>
      </c>
      <c r="F1803" s="35" t="s">
        <v>85</v>
      </c>
      <c r="G1803" s="35">
        <v>8.0399999999999991</v>
      </c>
    </row>
    <row r="1804" spans="1:7" x14ac:dyDescent="0.2">
      <c r="A1804" s="35" t="s">
        <v>75</v>
      </c>
      <c r="B1804" s="35" t="s">
        <v>75</v>
      </c>
      <c r="C1804" s="35" t="s">
        <v>65</v>
      </c>
      <c r="D1804" s="35" t="s">
        <v>228</v>
      </c>
      <c r="E1804" s="35">
        <v>12</v>
      </c>
      <c r="F1804" s="35" t="s">
        <v>85</v>
      </c>
      <c r="G1804" s="35">
        <v>8.0299999999999994</v>
      </c>
    </row>
    <row r="1805" spans="1:7" x14ac:dyDescent="0.2">
      <c r="A1805" s="35" t="s">
        <v>75</v>
      </c>
      <c r="B1805" s="35" t="s">
        <v>75</v>
      </c>
      <c r="C1805" s="35" t="s">
        <v>65</v>
      </c>
      <c r="D1805" s="35" t="s">
        <v>229</v>
      </c>
      <c r="E1805" s="35">
        <v>12</v>
      </c>
      <c r="F1805" s="35" t="s">
        <v>85</v>
      </c>
      <c r="G1805" s="35">
        <v>8.08</v>
      </c>
    </row>
    <row r="1806" spans="1:7" x14ac:dyDescent="0.2">
      <c r="A1806" s="35" t="s">
        <v>75</v>
      </c>
      <c r="B1806" s="35" t="s">
        <v>75</v>
      </c>
      <c r="C1806" s="35" t="s">
        <v>65</v>
      </c>
      <c r="D1806" s="35" t="s">
        <v>234</v>
      </c>
      <c r="E1806" s="35">
        <v>12</v>
      </c>
      <c r="F1806" s="35" t="s">
        <v>85</v>
      </c>
      <c r="G1806" s="35">
        <v>8.08</v>
      </c>
    </row>
    <row r="1807" spans="1:7" x14ac:dyDescent="0.2">
      <c r="A1807" s="35" t="s">
        <v>75</v>
      </c>
      <c r="B1807" s="35" t="s">
        <v>75</v>
      </c>
      <c r="C1807" s="35" t="s">
        <v>223</v>
      </c>
      <c r="D1807" s="35" t="s">
        <v>230</v>
      </c>
      <c r="E1807" s="35">
        <v>12</v>
      </c>
      <c r="F1807" s="35" t="s">
        <v>85</v>
      </c>
      <c r="G1807" s="35">
        <v>7.95</v>
      </c>
    </row>
    <row r="1808" spans="1:7" x14ac:dyDescent="0.2">
      <c r="A1808" s="35" t="s">
        <v>75</v>
      </c>
      <c r="B1808" s="35" t="s">
        <v>75</v>
      </c>
      <c r="C1808" s="35" t="s">
        <v>223</v>
      </c>
      <c r="D1808" s="35" t="s">
        <v>231</v>
      </c>
      <c r="E1808" s="35">
        <v>12</v>
      </c>
      <c r="F1808" s="35" t="s">
        <v>85</v>
      </c>
      <c r="G1808" s="35">
        <v>7.94</v>
      </c>
    </row>
    <row r="1809" spans="1:7" x14ac:dyDescent="0.2">
      <c r="A1809" s="35" t="s">
        <v>75</v>
      </c>
      <c r="B1809" s="35" t="s">
        <v>75</v>
      </c>
      <c r="C1809" s="35" t="s">
        <v>223</v>
      </c>
      <c r="D1809" s="35" t="s">
        <v>235</v>
      </c>
      <c r="E1809" s="35">
        <v>12</v>
      </c>
      <c r="F1809" s="35" t="s">
        <v>85</v>
      </c>
      <c r="G1809" s="35">
        <v>7.95</v>
      </c>
    </row>
    <row r="1810" spans="1:7" x14ac:dyDescent="0.2">
      <c r="A1810" s="35" t="s">
        <v>75</v>
      </c>
      <c r="B1810" s="35" t="s">
        <v>75</v>
      </c>
      <c r="C1810" s="35" t="s">
        <v>223</v>
      </c>
      <c r="D1810" s="35" t="s">
        <v>232</v>
      </c>
      <c r="E1810" s="35">
        <v>12</v>
      </c>
      <c r="F1810" s="35" t="s">
        <v>85</v>
      </c>
      <c r="G1810" s="35">
        <v>7.96</v>
      </c>
    </row>
    <row r="1811" spans="1:7" x14ac:dyDescent="0.2">
      <c r="A1811" s="35" t="s">
        <v>75</v>
      </c>
      <c r="B1811" s="35" t="s">
        <v>75</v>
      </c>
      <c r="C1811" s="35" t="s">
        <v>223</v>
      </c>
      <c r="D1811" s="35" t="s">
        <v>236</v>
      </c>
      <c r="E1811" s="35">
        <v>12</v>
      </c>
      <c r="F1811" s="35" t="s">
        <v>85</v>
      </c>
      <c r="G1811" s="35">
        <v>7.97</v>
      </c>
    </row>
    <row r="1812" spans="1:7" x14ac:dyDescent="0.2">
      <c r="A1812" s="35" t="s">
        <v>75</v>
      </c>
      <c r="B1812" s="35" t="s">
        <v>221</v>
      </c>
      <c r="C1812" s="35" t="s">
        <v>65</v>
      </c>
      <c r="D1812" s="35" t="s">
        <v>222</v>
      </c>
      <c r="E1812" s="35">
        <v>12</v>
      </c>
      <c r="F1812" s="35" t="s">
        <v>85</v>
      </c>
      <c r="G1812" s="35">
        <v>8.0500000000000007</v>
      </c>
    </row>
    <row r="1813" spans="1:7" x14ac:dyDescent="0.2">
      <c r="A1813" s="35" t="s">
        <v>75</v>
      </c>
      <c r="B1813" s="35" t="s">
        <v>221</v>
      </c>
      <c r="C1813" s="35" t="s">
        <v>223</v>
      </c>
      <c r="D1813" s="35" t="s">
        <v>224</v>
      </c>
      <c r="E1813" s="35">
        <v>12</v>
      </c>
      <c r="F1813" s="35" t="s">
        <v>85</v>
      </c>
      <c r="G1813" s="35">
        <v>7.94</v>
      </c>
    </row>
    <row r="1814" spans="1:7" x14ac:dyDescent="0.2">
      <c r="A1814" s="35" t="s">
        <v>52</v>
      </c>
      <c r="B1814" s="35" t="s">
        <v>52</v>
      </c>
      <c r="C1814" s="35" t="s">
        <v>65</v>
      </c>
      <c r="D1814" s="35" t="s">
        <v>237</v>
      </c>
      <c r="E1814" s="35">
        <v>12</v>
      </c>
      <c r="F1814" s="35" t="s">
        <v>85</v>
      </c>
      <c r="G1814" s="35">
        <v>8.0299999999999994</v>
      </c>
    </row>
    <row r="1815" spans="1:7" x14ac:dyDescent="0.2">
      <c r="A1815" s="35" t="s">
        <v>52</v>
      </c>
      <c r="B1815" s="35" t="s">
        <v>52</v>
      </c>
      <c r="C1815" s="35" t="s">
        <v>65</v>
      </c>
      <c r="D1815" s="35" t="s">
        <v>238</v>
      </c>
      <c r="E1815" s="35">
        <v>12</v>
      </c>
      <c r="F1815" s="35" t="s">
        <v>85</v>
      </c>
      <c r="G1815" s="35">
        <v>8.07</v>
      </c>
    </row>
    <row r="1816" spans="1:7" x14ac:dyDescent="0.2">
      <c r="A1816" s="35" t="s">
        <v>52</v>
      </c>
      <c r="B1816" s="35" t="s">
        <v>52</v>
      </c>
      <c r="C1816" s="35" t="s">
        <v>65</v>
      </c>
      <c r="D1816" s="35" t="s">
        <v>239</v>
      </c>
      <c r="E1816" s="35">
        <v>12</v>
      </c>
      <c r="F1816" s="35" t="s">
        <v>85</v>
      </c>
      <c r="G1816" s="35">
        <v>8.08</v>
      </c>
    </row>
    <row r="1817" spans="1:7" x14ac:dyDescent="0.2">
      <c r="A1817" s="35" t="s">
        <v>52</v>
      </c>
      <c r="B1817" s="35" t="s">
        <v>52</v>
      </c>
      <c r="C1817" s="35" t="s">
        <v>65</v>
      </c>
      <c r="D1817" s="35" t="s">
        <v>240</v>
      </c>
      <c r="E1817" s="35">
        <v>12</v>
      </c>
      <c r="F1817" s="35" t="s">
        <v>85</v>
      </c>
      <c r="G1817" s="35">
        <v>8.11</v>
      </c>
    </row>
    <row r="1818" spans="1:7" x14ac:dyDescent="0.2">
      <c r="A1818" s="35" t="s">
        <v>52</v>
      </c>
      <c r="B1818" s="35" t="s">
        <v>52</v>
      </c>
      <c r="C1818" s="35" t="s">
        <v>65</v>
      </c>
      <c r="D1818" s="35" t="s">
        <v>245</v>
      </c>
      <c r="E1818" s="35">
        <v>12</v>
      </c>
      <c r="F1818" s="35" t="s">
        <v>85</v>
      </c>
      <c r="G1818" s="35">
        <v>8.08</v>
      </c>
    </row>
    <row r="1819" spans="1:7" x14ac:dyDescent="0.2">
      <c r="A1819" s="35" t="s">
        <v>52</v>
      </c>
      <c r="B1819" s="35" t="s">
        <v>52</v>
      </c>
      <c r="C1819" s="35" t="s">
        <v>223</v>
      </c>
      <c r="D1819" s="35" t="s">
        <v>241</v>
      </c>
      <c r="E1819" s="35">
        <v>12</v>
      </c>
      <c r="F1819" s="35" t="s">
        <v>85</v>
      </c>
      <c r="G1819" s="35">
        <v>7.95</v>
      </c>
    </row>
    <row r="1820" spans="1:7" x14ac:dyDescent="0.2">
      <c r="A1820" s="35" t="s">
        <v>52</v>
      </c>
      <c r="B1820" s="35" t="s">
        <v>52</v>
      </c>
      <c r="C1820" s="35" t="s">
        <v>223</v>
      </c>
      <c r="D1820" s="35" t="s">
        <v>246</v>
      </c>
      <c r="E1820" s="35">
        <v>12</v>
      </c>
      <c r="F1820" s="35" t="s">
        <v>85</v>
      </c>
      <c r="G1820" s="35">
        <v>7.98</v>
      </c>
    </row>
    <row r="1821" spans="1:7" x14ac:dyDescent="0.2">
      <c r="A1821" s="35" t="s">
        <v>52</v>
      </c>
      <c r="B1821" s="35" t="s">
        <v>52</v>
      </c>
      <c r="C1821" s="35" t="s">
        <v>223</v>
      </c>
      <c r="D1821" s="35" t="s">
        <v>242</v>
      </c>
      <c r="E1821" s="35">
        <v>12</v>
      </c>
      <c r="F1821" s="35" t="s">
        <v>85</v>
      </c>
      <c r="G1821" s="35">
        <v>8</v>
      </c>
    </row>
    <row r="1822" spans="1:7" x14ac:dyDescent="0.2">
      <c r="A1822" s="35" t="s">
        <v>52</v>
      </c>
      <c r="B1822" s="35" t="s">
        <v>52</v>
      </c>
      <c r="C1822" s="35" t="s">
        <v>223</v>
      </c>
      <c r="D1822" s="35" t="s">
        <v>243</v>
      </c>
      <c r="E1822" s="35">
        <v>12</v>
      </c>
      <c r="F1822" s="35" t="s">
        <v>85</v>
      </c>
      <c r="G1822" s="35">
        <v>8.01</v>
      </c>
    </row>
    <row r="1823" spans="1:7" x14ac:dyDescent="0.2">
      <c r="A1823" s="35" t="s">
        <v>52</v>
      </c>
      <c r="B1823" s="35" t="s">
        <v>52</v>
      </c>
      <c r="C1823" s="35" t="s">
        <v>223</v>
      </c>
      <c r="D1823" s="35" t="s">
        <v>244</v>
      </c>
      <c r="E1823" s="35">
        <v>12</v>
      </c>
      <c r="F1823" s="35" t="s">
        <v>85</v>
      </c>
      <c r="G1823" s="35">
        <v>8.01</v>
      </c>
    </row>
    <row r="1824" spans="1:7" x14ac:dyDescent="0.2">
      <c r="A1824" s="35" t="s">
        <v>52</v>
      </c>
      <c r="B1824" s="35" t="s">
        <v>221</v>
      </c>
      <c r="C1824" s="35" t="s">
        <v>65</v>
      </c>
      <c r="D1824" s="35" t="s">
        <v>225</v>
      </c>
      <c r="E1824" s="35">
        <v>12</v>
      </c>
      <c r="F1824" s="35" t="s">
        <v>85</v>
      </c>
      <c r="G1824" s="35">
        <v>8.09</v>
      </c>
    </row>
    <row r="1825" spans="1:7" x14ac:dyDescent="0.2">
      <c r="A1825" s="35" t="s">
        <v>52</v>
      </c>
      <c r="B1825" s="35" t="s">
        <v>221</v>
      </c>
      <c r="C1825" s="35" t="s">
        <v>223</v>
      </c>
      <c r="D1825" s="35" t="s">
        <v>226</v>
      </c>
      <c r="E1825" s="35">
        <v>12</v>
      </c>
      <c r="F1825" s="35" t="s">
        <v>85</v>
      </c>
      <c r="G1825" s="35">
        <v>8</v>
      </c>
    </row>
    <row r="1826" spans="1:7" x14ac:dyDescent="0.2">
      <c r="A1826" s="35" t="s">
        <v>75</v>
      </c>
      <c r="B1826" s="35" t="s">
        <v>75</v>
      </c>
      <c r="C1826" s="35" t="s">
        <v>65</v>
      </c>
      <c r="D1826" s="35" t="s">
        <v>233</v>
      </c>
      <c r="E1826" s="35">
        <v>15</v>
      </c>
      <c r="F1826" s="35" t="s">
        <v>85</v>
      </c>
      <c r="G1826" s="35">
        <v>8.1</v>
      </c>
    </row>
    <row r="1827" spans="1:7" x14ac:dyDescent="0.2">
      <c r="A1827" s="35" t="s">
        <v>75</v>
      </c>
      <c r="B1827" s="35" t="s">
        <v>75</v>
      </c>
      <c r="C1827" s="35" t="s">
        <v>65</v>
      </c>
      <c r="D1827" s="35" t="s">
        <v>227</v>
      </c>
      <c r="E1827" s="35">
        <v>15</v>
      </c>
      <c r="F1827" s="35" t="s">
        <v>85</v>
      </c>
      <c r="G1827" s="35">
        <v>8.08</v>
      </c>
    </row>
    <row r="1828" spans="1:7" x14ac:dyDescent="0.2">
      <c r="A1828" s="35" t="s">
        <v>75</v>
      </c>
      <c r="B1828" s="35" t="s">
        <v>75</v>
      </c>
      <c r="C1828" s="35" t="s">
        <v>65</v>
      </c>
      <c r="D1828" s="35" t="s">
        <v>228</v>
      </c>
      <c r="E1828" s="35">
        <v>15</v>
      </c>
      <c r="F1828" s="35" t="s">
        <v>85</v>
      </c>
      <c r="G1828" s="35">
        <v>8.08</v>
      </c>
    </row>
    <row r="1829" spans="1:7" x14ac:dyDescent="0.2">
      <c r="A1829" s="35" t="s">
        <v>75</v>
      </c>
      <c r="B1829" s="35" t="s">
        <v>75</v>
      </c>
      <c r="C1829" s="35" t="s">
        <v>65</v>
      </c>
      <c r="D1829" s="35" t="s">
        <v>229</v>
      </c>
      <c r="E1829" s="35">
        <v>15</v>
      </c>
      <c r="F1829" s="35" t="s">
        <v>85</v>
      </c>
      <c r="G1829" s="35">
        <v>8.09</v>
      </c>
    </row>
    <row r="1830" spans="1:7" x14ac:dyDescent="0.2">
      <c r="A1830" s="35" t="s">
        <v>75</v>
      </c>
      <c r="B1830" s="35" t="s">
        <v>75</v>
      </c>
      <c r="C1830" s="35" t="s">
        <v>65</v>
      </c>
      <c r="D1830" s="35" t="s">
        <v>234</v>
      </c>
      <c r="E1830" s="35">
        <v>15</v>
      </c>
      <c r="F1830" s="35" t="s">
        <v>85</v>
      </c>
      <c r="G1830" s="35">
        <v>8.08</v>
      </c>
    </row>
    <row r="1831" spans="1:7" x14ac:dyDescent="0.2">
      <c r="A1831" s="35" t="s">
        <v>75</v>
      </c>
      <c r="B1831" s="35" t="s">
        <v>75</v>
      </c>
      <c r="C1831" s="35" t="s">
        <v>223</v>
      </c>
      <c r="D1831" s="35" t="s">
        <v>230</v>
      </c>
      <c r="E1831" s="35">
        <v>15</v>
      </c>
      <c r="F1831" s="35" t="s">
        <v>85</v>
      </c>
      <c r="G1831" s="35">
        <v>8.0399999999999991</v>
      </c>
    </row>
    <row r="1832" spans="1:7" x14ac:dyDescent="0.2">
      <c r="A1832" s="35" t="s">
        <v>75</v>
      </c>
      <c r="B1832" s="35" t="s">
        <v>75</v>
      </c>
      <c r="C1832" s="35" t="s">
        <v>223</v>
      </c>
      <c r="D1832" s="35" t="s">
        <v>231</v>
      </c>
      <c r="E1832" s="35">
        <v>15</v>
      </c>
      <c r="F1832" s="35" t="s">
        <v>85</v>
      </c>
      <c r="G1832" s="35">
        <v>8.0399999999999991</v>
      </c>
    </row>
    <row r="1833" spans="1:7" x14ac:dyDescent="0.2">
      <c r="A1833" s="35" t="s">
        <v>75</v>
      </c>
      <c r="B1833" s="35" t="s">
        <v>75</v>
      </c>
      <c r="C1833" s="35" t="s">
        <v>223</v>
      </c>
      <c r="D1833" s="35" t="s">
        <v>235</v>
      </c>
      <c r="E1833" s="35">
        <v>15</v>
      </c>
      <c r="F1833" s="35" t="s">
        <v>85</v>
      </c>
      <c r="G1833" s="35">
        <v>8.0500000000000007</v>
      </c>
    </row>
    <row r="1834" spans="1:7" x14ac:dyDescent="0.2">
      <c r="A1834" s="35" t="s">
        <v>75</v>
      </c>
      <c r="B1834" s="35" t="s">
        <v>75</v>
      </c>
      <c r="C1834" s="35" t="s">
        <v>223</v>
      </c>
      <c r="D1834" s="35" t="s">
        <v>232</v>
      </c>
      <c r="E1834" s="35">
        <v>15</v>
      </c>
      <c r="F1834" s="35" t="s">
        <v>85</v>
      </c>
      <c r="G1834" s="35">
        <v>8.06</v>
      </c>
    </row>
    <row r="1835" spans="1:7" x14ac:dyDescent="0.2">
      <c r="A1835" s="35" t="s">
        <v>75</v>
      </c>
      <c r="B1835" s="35" t="s">
        <v>75</v>
      </c>
      <c r="C1835" s="35" t="s">
        <v>223</v>
      </c>
      <c r="D1835" s="35" t="s">
        <v>236</v>
      </c>
      <c r="E1835" s="35">
        <v>15</v>
      </c>
      <c r="F1835" s="35" t="s">
        <v>85</v>
      </c>
      <c r="G1835" s="35">
        <v>8.0500000000000007</v>
      </c>
    </row>
    <row r="1836" spans="1:7" x14ac:dyDescent="0.2">
      <c r="A1836" s="35" t="s">
        <v>75</v>
      </c>
      <c r="B1836" s="35" t="s">
        <v>221</v>
      </c>
      <c r="C1836" s="35" t="s">
        <v>65</v>
      </c>
      <c r="D1836" s="35" t="s">
        <v>222</v>
      </c>
      <c r="E1836" s="35">
        <v>15</v>
      </c>
      <c r="F1836" s="35" t="s">
        <v>85</v>
      </c>
      <c r="G1836" s="35">
        <v>8.08</v>
      </c>
    </row>
    <row r="1837" spans="1:7" x14ac:dyDescent="0.2">
      <c r="A1837" s="35" t="s">
        <v>75</v>
      </c>
      <c r="B1837" s="35" t="s">
        <v>221</v>
      </c>
      <c r="C1837" s="35" t="s">
        <v>223</v>
      </c>
      <c r="D1837" s="35" t="s">
        <v>224</v>
      </c>
      <c r="E1837" s="35">
        <v>15</v>
      </c>
      <c r="F1837" s="35" t="s">
        <v>85</v>
      </c>
      <c r="G1837" s="35">
        <v>8.0399999999999991</v>
      </c>
    </row>
    <row r="1838" spans="1:7" x14ac:dyDescent="0.2">
      <c r="A1838" s="35" t="s">
        <v>52</v>
      </c>
      <c r="B1838" s="35" t="s">
        <v>52</v>
      </c>
      <c r="C1838" s="35" t="s">
        <v>65</v>
      </c>
      <c r="D1838" s="35" t="s">
        <v>237</v>
      </c>
      <c r="E1838" s="35">
        <v>15</v>
      </c>
      <c r="F1838" s="35" t="s">
        <v>85</v>
      </c>
      <c r="G1838" s="35">
        <v>8.1</v>
      </c>
    </row>
    <row r="1839" spans="1:7" x14ac:dyDescent="0.2">
      <c r="A1839" s="35" t="s">
        <v>52</v>
      </c>
      <c r="B1839" s="35" t="s">
        <v>52</v>
      </c>
      <c r="C1839" s="35" t="s">
        <v>65</v>
      </c>
      <c r="D1839" s="35" t="s">
        <v>238</v>
      </c>
      <c r="E1839" s="35">
        <v>15</v>
      </c>
      <c r="F1839" s="35" t="s">
        <v>85</v>
      </c>
      <c r="G1839" s="35">
        <v>8.16</v>
      </c>
    </row>
    <row r="1840" spans="1:7" x14ac:dyDescent="0.2">
      <c r="A1840" s="35" t="s">
        <v>52</v>
      </c>
      <c r="B1840" s="35" t="s">
        <v>52</v>
      </c>
      <c r="C1840" s="35" t="s">
        <v>65</v>
      </c>
      <c r="D1840" s="35" t="s">
        <v>239</v>
      </c>
      <c r="E1840" s="35">
        <v>15</v>
      </c>
      <c r="F1840" s="35" t="s">
        <v>85</v>
      </c>
      <c r="G1840" s="35">
        <v>8.2200000000000006</v>
      </c>
    </row>
    <row r="1841" spans="1:7" x14ac:dyDescent="0.2">
      <c r="A1841" s="35" t="s">
        <v>52</v>
      </c>
      <c r="B1841" s="35" t="s">
        <v>52</v>
      </c>
      <c r="C1841" s="35" t="s">
        <v>65</v>
      </c>
      <c r="D1841" s="35" t="s">
        <v>240</v>
      </c>
      <c r="E1841" s="35">
        <v>15</v>
      </c>
      <c r="F1841" s="35" t="s">
        <v>85</v>
      </c>
      <c r="G1841" s="35">
        <v>8.1999999999999993</v>
      </c>
    </row>
    <row r="1842" spans="1:7" x14ac:dyDescent="0.2">
      <c r="A1842" s="35" t="s">
        <v>52</v>
      </c>
      <c r="B1842" s="35" t="s">
        <v>52</v>
      </c>
      <c r="C1842" s="35" t="s">
        <v>65</v>
      </c>
      <c r="D1842" s="35" t="s">
        <v>245</v>
      </c>
      <c r="E1842" s="35">
        <v>15</v>
      </c>
      <c r="F1842" s="35" t="s">
        <v>85</v>
      </c>
      <c r="G1842" s="35">
        <v>8.18</v>
      </c>
    </row>
    <row r="1843" spans="1:7" x14ac:dyDescent="0.2">
      <c r="A1843" s="35" t="s">
        <v>52</v>
      </c>
      <c r="B1843" s="35" t="s">
        <v>52</v>
      </c>
      <c r="C1843" s="35" t="s">
        <v>223</v>
      </c>
      <c r="D1843" s="35" t="s">
        <v>241</v>
      </c>
      <c r="E1843" s="35">
        <v>15</v>
      </c>
      <c r="F1843" s="35" t="s">
        <v>85</v>
      </c>
      <c r="G1843" s="35">
        <v>8.01</v>
      </c>
    </row>
    <row r="1844" spans="1:7" x14ac:dyDescent="0.2">
      <c r="A1844" s="35" t="s">
        <v>52</v>
      </c>
      <c r="B1844" s="35" t="s">
        <v>52</v>
      </c>
      <c r="C1844" s="35" t="s">
        <v>223</v>
      </c>
      <c r="D1844" s="35" t="s">
        <v>246</v>
      </c>
      <c r="E1844" s="35">
        <v>15</v>
      </c>
      <c r="F1844" s="35" t="s">
        <v>85</v>
      </c>
      <c r="G1844" s="35">
        <v>8.0299999999999994</v>
      </c>
    </row>
    <row r="1845" spans="1:7" x14ac:dyDescent="0.2">
      <c r="A1845" s="35" t="s">
        <v>52</v>
      </c>
      <c r="B1845" s="35" t="s">
        <v>52</v>
      </c>
      <c r="C1845" s="35" t="s">
        <v>223</v>
      </c>
      <c r="D1845" s="35" t="s">
        <v>242</v>
      </c>
      <c r="E1845" s="35">
        <v>15</v>
      </c>
      <c r="F1845" s="35" t="s">
        <v>85</v>
      </c>
      <c r="G1845" s="35">
        <v>8.06</v>
      </c>
    </row>
    <row r="1846" spans="1:7" x14ac:dyDescent="0.2">
      <c r="A1846" s="35" t="s">
        <v>52</v>
      </c>
      <c r="B1846" s="35" t="s">
        <v>52</v>
      </c>
      <c r="C1846" s="35" t="s">
        <v>223</v>
      </c>
      <c r="D1846" s="35" t="s">
        <v>243</v>
      </c>
      <c r="E1846" s="35">
        <v>15</v>
      </c>
      <c r="F1846" s="35" t="s">
        <v>85</v>
      </c>
      <c r="G1846" s="35">
        <v>8.11</v>
      </c>
    </row>
    <row r="1847" spans="1:7" x14ac:dyDescent="0.2">
      <c r="A1847" s="35" t="s">
        <v>52</v>
      </c>
      <c r="B1847" s="35" t="s">
        <v>52</v>
      </c>
      <c r="C1847" s="35" t="s">
        <v>223</v>
      </c>
      <c r="D1847" s="35" t="s">
        <v>244</v>
      </c>
      <c r="E1847" s="35">
        <v>15</v>
      </c>
      <c r="F1847" s="35" t="s">
        <v>85</v>
      </c>
      <c r="G1847" s="35">
        <v>8.0500000000000007</v>
      </c>
    </row>
    <row r="1848" spans="1:7" x14ac:dyDescent="0.2">
      <c r="A1848" s="35" t="s">
        <v>52</v>
      </c>
      <c r="B1848" s="35" t="s">
        <v>221</v>
      </c>
      <c r="C1848" s="35" t="s">
        <v>65</v>
      </c>
      <c r="D1848" s="35" t="s">
        <v>225</v>
      </c>
      <c r="E1848" s="35">
        <v>15</v>
      </c>
      <c r="F1848" s="35" t="s">
        <v>85</v>
      </c>
      <c r="G1848" s="35">
        <v>8.15</v>
      </c>
    </row>
    <row r="1849" spans="1:7" x14ac:dyDescent="0.2">
      <c r="A1849" s="35" t="s">
        <v>52</v>
      </c>
      <c r="B1849" s="35" t="s">
        <v>221</v>
      </c>
      <c r="C1849" s="35" t="s">
        <v>223</v>
      </c>
      <c r="D1849" s="35" t="s">
        <v>226</v>
      </c>
      <c r="E1849" s="35">
        <v>15</v>
      </c>
      <c r="F1849" s="35" t="s">
        <v>85</v>
      </c>
      <c r="G1849" s="35">
        <v>8.06</v>
      </c>
    </row>
    <row r="1850" spans="1:7" x14ac:dyDescent="0.2">
      <c r="A1850" s="35" t="s">
        <v>75</v>
      </c>
      <c r="B1850" s="35" t="s">
        <v>75</v>
      </c>
      <c r="C1850" s="35" t="s">
        <v>65</v>
      </c>
      <c r="D1850" s="35" t="s">
        <v>233</v>
      </c>
      <c r="E1850" s="35">
        <v>16</v>
      </c>
      <c r="F1850" s="35" t="s">
        <v>85</v>
      </c>
      <c r="G1850" s="35">
        <v>8.01</v>
      </c>
    </row>
    <row r="1851" spans="1:7" x14ac:dyDescent="0.2">
      <c r="A1851" s="35" t="s">
        <v>75</v>
      </c>
      <c r="B1851" s="35" t="s">
        <v>75</v>
      </c>
      <c r="C1851" s="35" t="s">
        <v>65</v>
      </c>
      <c r="D1851" s="35" t="s">
        <v>227</v>
      </c>
      <c r="E1851" s="35">
        <v>16</v>
      </c>
      <c r="F1851" s="35" t="s">
        <v>85</v>
      </c>
      <c r="G1851" s="35">
        <v>8</v>
      </c>
    </row>
    <row r="1852" spans="1:7" x14ac:dyDescent="0.2">
      <c r="A1852" s="35" t="s">
        <v>75</v>
      </c>
      <c r="B1852" s="35" t="s">
        <v>75</v>
      </c>
      <c r="C1852" s="35" t="s">
        <v>65</v>
      </c>
      <c r="D1852" s="35" t="s">
        <v>228</v>
      </c>
      <c r="E1852" s="35">
        <v>16</v>
      </c>
      <c r="F1852" s="35" t="s">
        <v>85</v>
      </c>
      <c r="G1852" s="35">
        <v>7.9</v>
      </c>
    </row>
    <row r="1853" spans="1:7" x14ac:dyDescent="0.2">
      <c r="A1853" s="35" t="s">
        <v>75</v>
      </c>
      <c r="B1853" s="35" t="s">
        <v>75</v>
      </c>
      <c r="C1853" s="35" t="s">
        <v>65</v>
      </c>
      <c r="D1853" s="35" t="s">
        <v>229</v>
      </c>
      <c r="E1853" s="35">
        <v>16</v>
      </c>
      <c r="F1853" s="35" t="s">
        <v>85</v>
      </c>
      <c r="G1853" s="35">
        <v>7.91</v>
      </c>
    </row>
    <row r="1854" spans="1:7" x14ac:dyDescent="0.2">
      <c r="A1854" s="35" t="s">
        <v>75</v>
      </c>
      <c r="B1854" s="35" t="s">
        <v>75</v>
      </c>
      <c r="C1854" s="35" t="s">
        <v>65</v>
      </c>
      <c r="D1854" s="35" t="s">
        <v>234</v>
      </c>
      <c r="E1854" s="35">
        <v>16</v>
      </c>
      <c r="F1854" s="35" t="s">
        <v>85</v>
      </c>
      <c r="G1854" s="35">
        <v>7.92</v>
      </c>
    </row>
    <row r="1855" spans="1:7" x14ac:dyDescent="0.2">
      <c r="A1855" s="35" t="s">
        <v>75</v>
      </c>
      <c r="B1855" s="35" t="s">
        <v>75</v>
      </c>
      <c r="C1855" s="35" t="s">
        <v>223</v>
      </c>
      <c r="D1855" s="35" t="s">
        <v>230</v>
      </c>
      <c r="E1855" s="35">
        <v>16</v>
      </c>
      <c r="F1855" s="35" t="s">
        <v>85</v>
      </c>
      <c r="G1855" s="35">
        <v>7.91</v>
      </c>
    </row>
    <row r="1856" spans="1:7" x14ac:dyDescent="0.2">
      <c r="A1856" s="35" t="s">
        <v>75</v>
      </c>
      <c r="B1856" s="35" t="s">
        <v>75</v>
      </c>
      <c r="C1856" s="35" t="s">
        <v>223</v>
      </c>
      <c r="D1856" s="35" t="s">
        <v>231</v>
      </c>
      <c r="E1856" s="35">
        <v>16</v>
      </c>
      <c r="F1856" s="35" t="s">
        <v>85</v>
      </c>
      <c r="G1856" s="35">
        <v>7.92</v>
      </c>
    </row>
    <row r="1857" spans="1:7" x14ac:dyDescent="0.2">
      <c r="A1857" s="35" t="s">
        <v>75</v>
      </c>
      <c r="B1857" s="35" t="s">
        <v>75</v>
      </c>
      <c r="C1857" s="35" t="s">
        <v>223</v>
      </c>
      <c r="D1857" s="35" t="s">
        <v>235</v>
      </c>
      <c r="E1857" s="35">
        <v>16</v>
      </c>
      <c r="F1857" s="35" t="s">
        <v>85</v>
      </c>
      <c r="G1857" s="35">
        <v>7.9</v>
      </c>
    </row>
    <row r="1858" spans="1:7" x14ac:dyDescent="0.2">
      <c r="A1858" s="35" t="s">
        <v>75</v>
      </c>
      <c r="B1858" s="35" t="s">
        <v>75</v>
      </c>
      <c r="C1858" s="35" t="s">
        <v>223</v>
      </c>
      <c r="D1858" s="35" t="s">
        <v>232</v>
      </c>
      <c r="E1858" s="35">
        <v>16</v>
      </c>
      <c r="F1858" s="35" t="s">
        <v>85</v>
      </c>
      <c r="G1858" s="35">
        <v>7.91</v>
      </c>
    </row>
    <row r="1859" spans="1:7" x14ac:dyDescent="0.2">
      <c r="A1859" s="35" t="s">
        <v>75</v>
      </c>
      <c r="B1859" s="35" t="s">
        <v>75</v>
      </c>
      <c r="C1859" s="35" t="s">
        <v>223</v>
      </c>
      <c r="D1859" s="35" t="s">
        <v>236</v>
      </c>
      <c r="E1859" s="35">
        <v>16</v>
      </c>
      <c r="F1859" s="35" t="s">
        <v>85</v>
      </c>
      <c r="G1859" s="35">
        <v>7.93</v>
      </c>
    </row>
    <row r="1860" spans="1:7" x14ac:dyDescent="0.2">
      <c r="A1860" s="35" t="s">
        <v>75</v>
      </c>
      <c r="B1860" s="35" t="s">
        <v>221</v>
      </c>
      <c r="C1860" s="35" t="s">
        <v>65</v>
      </c>
      <c r="D1860" s="35" t="s">
        <v>222</v>
      </c>
      <c r="E1860" s="35">
        <v>16</v>
      </c>
      <c r="F1860" s="35" t="s">
        <v>85</v>
      </c>
      <c r="G1860" s="35">
        <v>7.94</v>
      </c>
    </row>
    <row r="1861" spans="1:7" x14ac:dyDescent="0.2">
      <c r="A1861" s="35" t="s">
        <v>75</v>
      </c>
      <c r="B1861" s="35" t="s">
        <v>221</v>
      </c>
      <c r="C1861" s="35" t="s">
        <v>223</v>
      </c>
      <c r="D1861" s="35" t="s">
        <v>224</v>
      </c>
      <c r="E1861" s="35">
        <v>16</v>
      </c>
      <c r="F1861" s="35" t="s">
        <v>85</v>
      </c>
      <c r="G1861" s="35">
        <v>7.9</v>
      </c>
    </row>
    <row r="1862" spans="1:7" x14ac:dyDescent="0.2">
      <c r="A1862" s="35" t="s">
        <v>52</v>
      </c>
      <c r="B1862" s="35" t="s">
        <v>52</v>
      </c>
      <c r="C1862" s="35" t="s">
        <v>65</v>
      </c>
      <c r="D1862" s="35" t="s">
        <v>237</v>
      </c>
      <c r="E1862" s="35">
        <v>16</v>
      </c>
      <c r="F1862" s="35" t="s">
        <v>85</v>
      </c>
      <c r="G1862" s="35">
        <v>7.93</v>
      </c>
    </row>
    <row r="1863" spans="1:7" x14ac:dyDescent="0.2">
      <c r="A1863" s="35" t="s">
        <v>52</v>
      </c>
      <c r="B1863" s="35" t="s">
        <v>52</v>
      </c>
      <c r="C1863" s="35" t="s">
        <v>65</v>
      </c>
      <c r="D1863" s="35" t="s">
        <v>238</v>
      </c>
      <c r="E1863" s="35">
        <v>16</v>
      </c>
      <c r="F1863" s="35" t="s">
        <v>85</v>
      </c>
      <c r="G1863" s="35">
        <v>7.98</v>
      </c>
    </row>
    <row r="1864" spans="1:7" x14ac:dyDescent="0.2">
      <c r="A1864" s="35" t="s">
        <v>52</v>
      </c>
      <c r="B1864" s="35" t="s">
        <v>52</v>
      </c>
      <c r="C1864" s="35" t="s">
        <v>65</v>
      </c>
      <c r="D1864" s="35" t="s">
        <v>239</v>
      </c>
      <c r="E1864" s="35">
        <v>16</v>
      </c>
      <c r="F1864" s="35" t="s">
        <v>85</v>
      </c>
      <c r="G1864" s="35">
        <v>8</v>
      </c>
    </row>
    <row r="1865" spans="1:7" x14ac:dyDescent="0.2">
      <c r="A1865" s="35" t="s">
        <v>52</v>
      </c>
      <c r="B1865" s="35" t="s">
        <v>52</v>
      </c>
      <c r="C1865" s="35" t="s">
        <v>65</v>
      </c>
      <c r="D1865" s="35" t="s">
        <v>240</v>
      </c>
      <c r="E1865" s="35">
        <v>16</v>
      </c>
      <c r="F1865" s="35" t="s">
        <v>85</v>
      </c>
      <c r="G1865" s="35">
        <v>8.01</v>
      </c>
    </row>
    <row r="1866" spans="1:7" x14ac:dyDescent="0.2">
      <c r="A1866" s="35" t="s">
        <v>52</v>
      </c>
      <c r="B1866" s="35" t="s">
        <v>52</v>
      </c>
      <c r="C1866" s="35" t="s">
        <v>65</v>
      </c>
      <c r="D1866" s="35" t="s">
        <v>245</v>
      </c>
      <c r="E1866" s="35">
        <v>16</v>
      </c>
      <c r="F1866" s="35" t="s">
        <v>85</v>
      </c>
      <c r="G1866" s="35">
        <v>8.01</v>
      </c>
    </row>
    <row r="1867" spans="1:7" x14ac:dyDescent="0.2">
      <c r="A1867" s="35" t="s">
        <v>52</v>
      </c>
      <c r="B1867" s="35" t="s">
        <v>52</v>
      </c>
      <c r="C1867" s="35" t="s">
        <v>223</v>
      </c>
      <c r="D1867" s="35" t="s">
        <v>241</v>
      </c>
      <c r="E1867" s="35">
        <v>16</v>
      </c>
      <c r="F1867" s="35" t="s">
        <v>85</v>
      </c>
      <c r="G1867" s="35">
        <v>8.0299999999999994</v>
      </c>
    </row>
    <row r="1868" spans="1:7" x14ac:dyDescent="0.2">
      <c r="A1868" s="35" t="s">
        <v>52</v>
      </c>
      <c r="B1868" s="35" t="s">
        <v>52</v>
      </c>
      <c r="C1868" s="35" t="s">
        <v>223</v>
      </c>
      <c r="D1868" s="35" t="s">
        <v>246</v>
      </c>
      <c r="E1868" s="35">
        <v>16</v>
      </c>
      <c r="F1868" s="35" t="s">
        <v>85</v>
      </c>
      <c r="G1868" s="35">
        <v>7.92</v>
      </c>
    </row>
    <row r="1869" spans="1:7" x14ac:dyDescent="0.2">
      <c r="A1869" s="35" t="s">
        <v>52</v>
      </c>
      <c r="B1869" s="35" t="s">
        <v>52</v>
      </c>
      <c r="C1869" s="35" t="s">
        <v>223</v>
      </c>
      <c r="D1869" s="35" t="s">
        <v>242</v>
      </c>
      <c r="E1869" s="35">
        <v>16</v>
      </c>
      <c r="F1869" s="35" t="s">
        <v>85</v>
      </c>
      <c r="G1869" s="35">
        <v>7.99</v>
      </c>
    </row>
    <row r="1870" spans="1:7" x14ac:dyDescent="0.2">
      <c r="A1870" s="35" t="s">
        <v>52</v>
      </c>
      <c r="B1870" s="35" t="s">
        <v>52</v>
      </c>
      <c r="C1870" s="35" t="s">
        <v>223</v>
      </c>
      <c r="D1870" s="35" t="s">
        <v>243</v>
      </c>
      <c r="E1870" s="35">
        <v>16</v>
      </c>
      <c r="F1870" s="35" t="s">
        <v>85</v>
      </c>
      <c r="G1870" s="35">
        <v>7.99</v>
      </c>
    </row>
    <row r="1871" spans="1:7" x14ac:dyDescent="0.2">
      <c r="A1871" s="35" t="s">
        <v>52</v>
      </c>
      <c r="B1871" s="35" t="s">
        <v>52</v>
      </c>
      <c r="C1871" s="35" t="s">
        <v>223</v>
      </c>
      <c r="D1871" s="35" t="s">
        <v>244</v>
      </c>
      <c r="E1871" s="35">
        <v>16</v>
      </c>
      <c r="F1871" s="35" t="s">
        <v>85</v>
      </c>
      <c r="G1871" s="35">
        <v>8.02</v>
      </c>
    </row>
    <row r="1872" spans="1:7" x14ac:dyDescent="0.2">
      <c r="A1872" s="35" t="s">
        <v>52</v>
      </c>
      <c r="B1872" s="35" t="s">
        <v>221</v>
      </c>
      <c r="C1872" s="35" t="s">
        <v>65</v>
      </c>
      <c r="D1872" s="35" t="s">
        <v>225</v>
      </c>
      <c r="E1872" s="35">
        <v>16</v>
      </c>
      <c r="F1872" s="35" t="s">
        <v>85</v>
      </c>
      <c r="G1872" s="35">
        <v>8.0299999999999994</v>
      </c>
    </row>
    <row r="1873" spans="1:7" x14ac:dyDescent="0.2">
      <c r="A1873" s="35" t="s">
        <v>52</v>
      </c>
      <c r="B1873" s="35" t="s">
        <v>221</v>
      </c>
      <c r="C1873" s="35" t="s">
        <v>223</v>
      </c>
      <c r="D1873" s="35" t="s">
        <v>226</v>
      </c>
      <c r="E1873" s="35">
        <v>16</v>
      </c>
      <c r="F1873" s="35" t="s">
        <v>85</v>
      </c>
      <c r="G1873" s="35">
        <v>8.0399999999999991</v>
      </c>
    </row>
    <row r="1874" spans="1:7" x14ac:dyDescent="0.2">
      <c r="A1874" s="35" t="s">
        <v>75</v>
      </c>
      <c r="B1874" s="35" t="s">
        <v>75</v>
      </c>
      <c r="C1874" s="35" t="s">
        <v>65</v>
      </c>
      <c r="D1874" s="35" t="s">
        <v>233</v>
      </c>
      <c r="E1874" s="35">
        <v>17</v>
      </c>
      <c r="F1874" s="35" t="s">
        <v>85</v>
      </c>
      <c r="G1874" s="35">
        <v>8.02</v>
      </c>
    </row>
    <row r="1875" spans="1:7" x14ac:dyDescent="0.2">
      <c r="A1875" s="35" t="s">
        <v>75</v>
      </c>
      <c r="B1875" s="35" t="s">
        <v>75</v>
      </c>
      <c r="C1875" s="35" t="s">
        <v>65</v>
      </c>
      <c r="D1875" s="35" t="s">
        <v>227</v>
      </c>
      <c r="E1875" s="35">
        <v>17</v>
      </c>
      <c r="F1875" s="35" t="s">
        <v>85</v>
      </c>
      <c r="G1875" s="35">
        <v>8.01</v>
      </c>
    </row>
    <row r="1876" spans="1:7" x14ac:dyDescent="0.2">
      <c r="A1876" s="35" t="s">
        <v>75</v>
      </c>
      <c r="B1876" s="35" t="s">
        <v>75</v>
      </c>
      <c r="C1876" s="35" t="s">
        <v>65</v>
      </c>
      <c r="D1876" s="35" t="s">
        <v>228</v>
      </c>
      <c r="E1876" s="35">
        <v>17</v>
      </c>
      <c r="F1876" s="35" t="s">
        <v>85</v>
      </c>
      <c r="G1876" s="35">
        <v>8.02</v>
      </c>
    </row>
    <row r="1877" spans="1:7" x14ac:dyDescent="0.2">
      <c r="A1877" s="35" t="s">
        <v>75</v>
      </c>
      <c r="B1877" s="35" t="s">
        <v>75</v>
      </c>
      <c r="C1877" s="35" t="s">
        <v>65</v>
      </c>
      <c r="D1877" s="35" t="s">
        <v>229</v>
      </c>
      <c r="E1877" s="35">
        <v>17</v>
      </c>
      <c r="F1877" s="35" t="s">
        <v>85</v>
      </c>
      <c r="G1877" s="35">
        <v>8</v>
      </c>
    </row>
    <row r="1878" spans="1:7" x14ac:dyDescent="0.2">
      <c r="A1878" s="35" t="s">
        <v>75</v>
      </c>
      <c r="B1878" s="35" t="s">
        <v>75</v>
      </c>
      <c r="C1878" s="35" t="s">
        <v>65</v>
      </c>
      <c r="D1878" s="35" t="s">
        <v>234</v>
      </c>
      <c r="E1878" s="35">
        <v>17</v>
      </c>
      <c r="F1878" s="35" t="s">
        <v>85</v>
      </c>
      <c r="G1878" s="35">
        <v>8.02</v>
      </c>
    </row>
    <row r="1879" spans="1:7" x14ac:dyDescent="0.2">
      <c r="A1879" s="35" t="s">
        <v>75</v>
      </c>
      <c r="B1879" s="35" t="s">
        <v>75</v>
      </c>
      <c r="C1879" s="35" t="s">
        <v>223</v>
      </c>
      <c r="D1879" s="35" t="s">
        <v>230</v>
      </c>
      <c r="E1879" s="35">
        <v>17</v>
      </c>
      <c r="F1879" s="35" t="s">
        <v>85</v>
      </c>
      <c r="G1879" s="35">
        <v>7.98</v>
      </c>
    </row>
    <row r="1880" spans="1:7" x14ac:dyDescent="0.2">
      <c r="A1880" s="35" t="s">
        <v>75</v>
      </c>
      <c r="B1880" s="35" t="s">
        <v>75</v>
      </c>
      <c r="C1880" s="35" t="s">
        <v>223</v>
      </c>
      <c r="D1880" s="35" t="s">
        <v>231</v>
      </c>
      <c r="E1880" s="35">
        <v>17</v>
      </c>
      <c r="F1880" s="35" t="s">
        <v>85</v>
      </c>
      <c r="G1880" s="35">
        <v>7.95</v>
      </c>
    </row>
    <row r="1881" spans="1:7" x14ac:dyDescent="0.2">
      <c r="A1881" s="35" t="s">
        <v>75</v>
      </c>
      <c r="B1881" s="35" t="s">
        <v>75</v>
      </c>
      <c r="C1881" s="35" t="s">
        <v>223</v>
      </c>
      <c r="D1881" s="35" t="s">
        <v>235</v>
      </c>
      <c r="E1881" s="35">
        <v>17</v>
      </c>
      <c r="F1881" s="35" t="s">
        <v>85</v>
      </c>
      <c r="G1881" s="35">
        <v>7.95</v>
      </c>
    </row>
    <row r="1882" spans="1:7" x14ac:dyDescent="0.2">
      <c r="A1882" s="35" t="s">
        <v>75</v>
      </c>
      <c r="B1882" s="35" t="s">
        <v>75</v>
      </c>
      <c r="C1882" s="35" t="s">
        <v>223</v>
      </c>
      <c r="D1882" s="35" t="s">
        <v>232</v>
      </c>
      <c r="E1882" s="35">
        <v>17</v>
      </c>
      <c r="F1882" s="35" t="s">
        <v>85</v>
      </c>
      <c r="G1882" s="35">
        <v>7.96</v>
      </c>
    </row>
    <row r="1883" spans="1:7" x14ac:dyDescent="0.2">
      <c r="A1883" s="35" t="s">
        <v>75</v>
      </c>
      <c r="B1883" s="35" t="s">
        <v>75</v>
      </c>
      <c r="C1883" s="35" t="s">
        <v>223</v>
      </c>
      <c r="D1883" s="35" t="s">
        <v>236</v>
      </c>
      <c r="E1883" s="35">
        <v>17</v>
      </c>
      <c r="F1883" s="35" t="s">
        <v>85</v>
      </c>
      <c r="G1883" s="35">
        <v>7.99</v>
      </c>
    </row>
    <row r="1884" spans="1:7" x14ac:dyDescent="0.2">
      <c r="A1884" s="35" t="s">
        <v>75</v>
      </c>
      <c r="B1884" s="35" t="s">
        <v>221</v>
      </c>
      <c r="C1884" s="35" t="s">
        <v>65</v>
      </c>
      <c r="D1884" s="35" t="s">
        <v>222</v>
      </c>
      <c r="E1884" s="35">
        <v>17</v>
      </c>
      <c r="F1884" s="35" t="s">
        <v>85</v>
      </c>
      <c r="G1884" s="35">
        <v>7.99</v>
      </c>
    </row>
    <row r="1885" spans="1:7" x14ac:dyDescent="0.2">
      <c r="A1885" s="35" t="s">
        <v>75</v>
      </c>
      <c r="B1885" s="35" t="s">
        <v>221</v>
      </c>
      <c r="C1885" s="35" t="s">
        <v>223</v>
      </c>
      <c r="D1885" s="35" t="s">
        <v>224</v>
      </c>
      <c r="E1885" s="35">
        <v>17</v>
      </c>
      <c r="F1885" s="35" t="s">
        <v>85</v>
      </c>
      <c r="G1885" s="35">
        <v>7.98</v>
      </c>
    </row>
    <row r="1886" spans="1:7" x14ac:dyDescent="0.2">
      <c r="A1886" s="35" t="s">
        <v>52</v>
      </c>
      <c r="B1886" s="35" t="s">
        <v>52</v>
      </c>
      <c r="C1886" s="35" t="s">
        <v>65</v>
      </c>
      <c r="D1886" s="35" t="s">
        <v>237</v>
      </c>
      <c r="E1886" s="35">
        <v>17</v>
      </c>
      <c r="F1886" s="35" t="s">
        <v>85</v>
      </c>
      <c r="G1886" s="35">
        <v>8</v>
      </c>
    </row>
    <row r="1887" spans="1:7" x14ac:dyDescent="0.2">
      <c r="A1887" s="35" t="s">
        <v>52</v>
      </c>
      <c r="B1887" s="35" t="s">
        <v>52</v>
      </c>
      <c r="C1887" s="35" t="s">
        <v>65</v>
      </c>
      <c r="D1887" s="35" t="s">
        <v>238</v>
      </c>
      <c r="E1887" s="35">
        <v>17</v>
      </c>
      <c r="F1887" s="35" t="s">
        <v>85</v>
      </c>
      <c r="G1887" s="35">
        <v>8.01</v>
      </c>
    </row>
    <row r="1888" spans="1:7" x14ac:dyDescent="0.2">
      <c r="A1888" s="35" t="s">
        <v>52</v>
      </c>
      <c r="B1888" s="35" t="s">
        <v>52</v>
      </c>
      <c r="C1888" s="35" t="s">
        <v>65</v>
      </c>
      <c r="D1888" s="35" t="s">
        <v>239</v>
      </c>
      <c r="E1888" s="35">
        <v>17</v>
      </c>
      <c r="F1888" s="35" t="s">
        <v>85</v>
      </c>
      <c r="G1888" s="35">
        <v>8.0399999999999991</v>
      </c>
    </row>
    <row r="1889" spans="1:7" x14ac:dyDescent="0.2">
      <c r="A1889" s="35" t="s">
        <v>52</v>
      </c>
      <c r="B1889" s="35" t="s">
        <v>52</v>
      </c>
      <c r="C1889" s="35" t="s">
        <v>65</v>
      </c>
      <c r="D1889" s="35" t="s">
        <v>240</v>
      </c>
      <c r="E1889" s="35">
        <v>17</v>
      </c>
      <c r="F1889" s="35" t="s">
        <v>85</v>
      </c>
      <c r="G1889" s="35">
        <v>8.0399999999999991</v>
      </c>
    </row>
    <row r="1890" spans="1:7" x14ac:dyDescent="0.2">
      <c r="A1890" s="35" t="s">
        <v>52</v>
      </c>
      <c r="B1890" s="35" t="s">
        <v>52</v>
      </c>
      <c r="C1890" s="35" t="s">
        <v>65</v>
      </c>
      <c r="D1890" s="35" t="s">
        <v>245</v>
      </c>
      <c r="E1890" s="35">
        <v>17</v>
      </c>
      <c r="F1890" s="35" t="s">
        <v>85</v>
      </c>
      <c r="G1890" s="35">
        <v>8.0299999999999994</v>
      </c>
    </row>
    <row r="1891" spans="1:7" x14ac:dyDescent="0.2">
      <c r="A1891" s="35" t="s">
        <v>52</v>
      </c>
      <c r="B1891" s="35" t="s">
        <v>52</v>
      </c>
      <c r="C1891" s="35" t="s">
        <v>223</v>
      </c>
      <c r="D1891" s="35" t="s">
        <v>241</v>
      </c>
      <c r="E1891" s="35">
        <v>17</v>
      </c>
      <c r="F1891" s="35" t="s">
        <v>85</v>
      </c>
      <c r="G1891" s="35">
        <v>8.01</v>
      </c>
    </row>
    <row r="1892" spans="1:7" x14ac:dyDescent="0.2">
      <c r="A1892" s="35" t="s">
        <v>52</v>
      </c>
      <c r="B1892" s="35" t="s">
        <v>52</v>
      </c>
      <c r="C1892" s="35" t="s">
        <v>223</v>
      </c>
      <c r="D1892" s="35" t="s">
        <v>246</v>
      </c>
      <c r="E1892" s="35">
        <v>17</v>
      </c>
      <c r="F1892" s="35" t="s">
        <v>85</v>
      </c>
      <c r="G1892" s="35">
        <v>8.0299999999999994</v>
      </c>
    </row>
    <row r="1893" spans="1:7" x14ac:dyDescent="0.2">
      <c r="A1893" s="35" t="s">
        <v>52</v>
      </c>
      <c r="B1893" s="35" t="s">
        <v>52</v>
      </c>
      <c r="C1893" s="35" t="s">
        <v>223</v>
      </c>
      <c r="D1893" s="35" t="s">
        <v>242</v>
      </c>
      <c r="E1893" s="35">
        <v>17</v>
      </c>
      <c r="F1893" s="35" t="s">
        <v>85</v>
      </c>
      <c r="G1893" s="35">
        <v>8.0399999999999991</v>
      </c>
    </row>
    <row r="1894" spans="1:7" x14ac:dyDescent="0.2">
      <c r="A1894" s="35" t="s">
        <v>52</v>
      </c>
      <c r="B1894" s="35" t="s">
        <v>52</v>
      </c>
      <c r="C1894" s="35" t="s">
        <v>223</v>
      </c>
      <c r="D1894" s="35" t="s">
        <v>243</v>
      </c>
      <c r="E1894" s="35">
        <v>17</v>
      </c>
      <c r="F1894" s="35" t="s">
        <v>85</v>
      </c>
      <c r="G1894" s="35">
        <v>8.06</v>
      </c>
    </row>
    <row r="1895" spans="1:7" x14ac:dyDescent="0.2">
      <c r="A1895" s="35" t="s">
        <v>52</v>
      </c>
      <c r="B1895" s="35" t="s">
        <v>52</v>
      </c>
      <c r="C1895" s="35" t="s">
        <v>223</v>
      </c>
      <c r="D1895" s="35" t="s">
        <v>244</v>
      </c>
      <c r="E1895" s="35">
        <v>17</v>
      </c>
      <c r="F1895" s="35" t="s">
        <v>85</v>
      </c>
      <c r="G1895" s="35">
        <v>8.0500000000000007</v>
      </c>
    </row>
    <row r="1896" spans="1:7" x14ac:dyDescent="0.2">
      <c r="A1896" s="35" t="s">
        <v>52</v>
      </c>
      <c r="B1896" s="35" t="s">
        <v>221</v>
      </c>
      <c r="C1896" s="35" t="s">
        <v>65</v>
      </c>
      <c r="D1896" s="35" t="s">
        <v>225</v>
      </c>
      <c r="E1896" s="35">
        <v>17</v>
      </c>
      <c r="F1896" s="35" t="s">
        <v>85</v>
      </c>
      <c r="G1896" s="35">
        <v>8.07</v>
      </c>
    </row>
    <row r="1897" spans="1:7" x14ac:dyDescent="0.2">
      <c r="A1897" s="35" t="s">
        <v>52</v>
      </c>
      <c r="B1897" s="35" t="s">
        <v>221</v>
      </c>
      <c r="C1897" s="35" t="s">
        <v>223</v>
      </c>
      <c r="D1897" s="35" t="s">
        <v>226</v>
      </c>
      <c r="E1897" s="35">
        <v>17</v>
      </c>
      <c r="F1897" s="35" t="s">
        <v>85</v>
      </c>
      <c r="G1897" s="35">
        <v>8.0299999999999994</v>
      </c>
    </row>
    <row r="1898" spans="1:7" x14ac:dyDescent="0.2">
      <c r="A1898" s="35" t="s">
        <v>75</v>
      </c>
      <c r="B1898" s="35" t="s">
        <v>75</v>
      </c>
      <c r="C1898" s="35" t="s">
        <v>65</v>
      </c>
      <c r="D1898" s="35" t="s">
        <v>233</v>
      </c>
      <c r="E1898" s="35">
        <v>18</v>
      </c>
      <c r="F1898" s="35" t="s">
        <v>85</v>
      </c>
      <c r="G1898" s="35">
        <v>7.88</v>
      </c>
    </row>
    <row r="1899" spans="1:7" x14ac:dyDescent="0.2">
      <c r="A1899" s="35" t="s">
        <v>75</v>
      </c>
      <c r="B1899" s="35" t="s">
        <v>75</v>
      </c>
      <c r="C1899" s="35" t="s">
        <v>65</v>
      </c>
      <c r="D1899" s="35" t="s">
        <v>227</v>
      </c>
      <c r="E1899" s="35">
        <v>18</v>
      </c>
      <c r="F1899" s="35" t="s">
        <v>85</v>
      </c>
      <c r="G1899" s="35">
        <v>7.84</v>
      </c>
    </row>
    <row r="1900" spans="1:7" x14ac:dyDescent="0.2">
      <c r="A1900" s="35" t="s">
        <v>75</v>
      </c>
      <c r="B1900" s="35" t="s">
        <v>75</v>
      </c>
      <c r="C1900" s="35" t="s">
        <v>65</v>
      </c>
      <c r="D1900" s="35" t="s">
        <v>228</v>
      </c>
      <c r="E1900" s="35">
        <v>18</v>
      </c>
      <c r="F1900" s="35" t="s">
        <v>85</v>
      </c>
      <c r="G1900" s="35">
        <v>7.85</v>
      </c>
    </row>
    <row r="1901" spans="1:7" x14ac:dyDescent="0.2">
      <c r="A1901" s="35" t="s">
        <v>75</v>
      </c>
      <c r="B1901" s="35" t="s">
        <v>75</v>
      </c>
      <c r="C1901" s="35" t="s">
        <v>65</v>
      </c>
      <c r="D1901" s="35" t="s">
        <v>229</v>
      </c>
      <c r="E1901" s="35">
        <v>18</v>
      </c>
      <c r="F1901" s="35" t="s">
        <v>85</v>
      </c>
      <c r="G1901" s="35">
        <v>7.86</v>
      </c>
    </row>
    <row r="1902" spans="1:7" x14ac:dyDescent="0.2">
      <c r="A1902" s="35" t="s">
        <v>75</v>
      </c>
      <c r="B1902" s="35" t="s">
        <v>75</v>
      </c>
      <c r="C1902" s="35" t="s">
        <v>65</v>
      </c>
      <c r="D1902" s="35" t="s">
        <v>234</v>
      </c>
      <c r="E1902" s="35">
        <v>18</v>
      </c>
      <c r="F1902" s="35" t="s">
        <v>85</v>
      </c>
      <c r="G1902" s="35">
        <v>7.84</v>
      </c>
    </row>
    <row r="1903" spans="1:7" x14ac:dyDescent="0.2">
      <c r="A1903" s="35" t="s">
        <v>75</v>
      </c>
      <c r="B1903" s="35" t="s">
        <v>75</v>
      </c>
      <c r="C1903" s="35" t="s">
        <v>223</v>
      </c>
      <c r="D1903" s="35" t="s">
        <v>230</v>
      </c>
      <c r="E1903" s="35">
        <v>18</v>
      </c>
      <c r="F1903" s="35" t="s">
        <v>85</v>
      </c>
      <c r="G1903" s="35">
        <v>7.85</v>
      </c>
    </row>
    <row r="1904" spans="1:7" x14ac:dyDescent="0.2">
      <c r="A1904" s="35" t="s">
        <v>75</v>
      </c>
      <c r="B1904" s="35" t="s">
        <v>75</v>
      </c>
      <c r="C1904" s="35" t="s">
        <v>223</v>
      </c>
      <c r="D1904" s="35" t="s">
        <v>231</v>
      </c>
      <c r="E1904" s="35">
        <v>18</v>
      </c>
      <c r="F1904" s="35" t="s">
        <v>85</v>
      </c>
      <c r="G1904" s="35">
        <v>7.8</v>
      </c>
    </row>
    <row r="1905" spans="1:7" x14ac:dyDescent="0.2">
      <c r="A1905" s="35" t="s">
        <v>75</v>
      </c>
      <c r="B1905" s="35" t="s">
        <v>75</v>
      </c>
      <c r="C1905" s="35" t="s">
        <v>223</v>
      </c>
      <c r="D1905" s="35" t="s">
        <v>235</v>
      </c>
      <c r="E1905" s="35">
        <v>18</v>
      </c>
      <c r="F1905" s="35" t="s">
        <v>85</v>
      </c>
      <c r="G1905" s="35">
        <v>7.81</v>
      </c>
    </row>
    <row r="1906" spans="1:7" x14ac:dyDescent="0.2">
      <c r="A1906" s="35" t="s">
        <v>75</v>
      </c>
      <c r="B1906" s="35" t="s">
        <v>75</v>
      </c>
      <c r="C1906" s="35" t="s">
        <v>223</v>
      </c>
      <c r="D1906" s="35" t="s">
        <v>232</v>
      </c>
      <c r="E1906" s="35">
        <v>18</v>
      </c>
      <c r="F1906" s="35" t="s">
        <v>85</v>
      </c>
      <c r="G1906" s="35">
        <v>7.81</v>
      </c>
    </row>
    <row r="1907" spans="1:7" x14ac:dyDescent="0.2">
      <c r="A1907" s="35" t="s">
        <v>75</v>
      </c>
      <c r="B1907" s="35" t="s">
        <v>75</v>
      </c>
      <c r="C1907" s="35" t="s">
        <v>223</v>
      </c>
      <c r="D1907" s="35" t="s">
        <v>236</v>
      </c>
      <c r="E1907" s="35">
        <v>18</v>
      </c>
      <c r="F1907" s="35" t="s">
        <v>85</v>
      </c>
      <c r="G1907" s="35">
        <v>7.82</v>
      </c>
    </row>
    <row r="1908" spans="1:7" x14ac:dyDescent="0.2">
      <c r="A1908" s="35" t="s">
        <v>75</v>
      </c>
      <c r="B1908" s="35" t="s">
        <v>221</v>
      </c>
      <c r="C1908" s="35" t="s">
        <v>65</v>
      </c>
      <c r="D1908" s="35" t="s">
        <v>222</v>
      </c>
      <c r="E1908" s="35">
        <v>18</v>
      </c>
      <c r="F1908" s="35" t="s">
        <v>85</v>
      </c>
      <c r="G1908" s="35">
        <v>7.82</v>
      </c>
    </row>
    <row r="1909" spans="1:7" x14ac:dyDescent="0.2">
      <c r="A1909" s="35" t="s">
        <v>75</v>
      </c>
      <c r="B1909" s="35" t="s">
        <v>221</v>
      </c>
      <c r="C1909" s="35" t="s">
        <v>223</v>
      </c>
      <c r="D1909" s="35" t="s">
        <v>224</v>
      </c>
      <c r="E1909" s="35">
        <v>18</v>
      </c>
      <c r="F1909" s="35" t="s">
        <v>85</v>
      </c>
      <c r="G1909" s="35">
        <v>7.81</v>
      </c>
    </row>
    <row r="1910" spans="1:7" x14ac:dyDescent="0.2">
      <c r="A1910" s="35" t="s">
        <v>52</v>
      </c>
      <c r="B1910" s="35" t="s">
        <v>52</v>
      </c>
      <c r="C1910" s="35" t="s">
        <v>65</v>
      </c>
      <c r="D1910" s="35" t="s">
        <v>237</v>
      </c>
      <c r="E1910" s="35">
        <v>18</v>
      </c>
      <c r="F1910" s="35" t="s">
        <v>85</v>
      </c>
      <c r="G1910" s="35">
        <v>8.11</v>
      </c>
    </row>
    <row r="1911" spans="1:7" x14ac:dyDescent="0.2">
      <c r="A1911" s="35" t="s">
        <v>52</v>
      </c>
      <c r="B1911" s="35" t="s">
        <v>52</v>
      </c>
      <c r="C1911" s="35" t="s">
        <v>65</v>
      </c>
      <c r="D1911" s="35" t="s">
        <v>238</v>
      </c>
      <c r="E1911" s="35">
        <v>18</v>
      </c>
      <c r="F1911" s="35" t="s">
        <v>85</v>
      </c>
      <c r="G1911" s="35">
        <v>8.11</v>
      </c>
    </row>
    <row r="1912" spans="1:7" x14ac:dyDescent="0.2">
      <c r="A1912" s="35" t="s">
        <v>52</v>
      </c>
      <c r="B1912" s="35" t="s">
        <v>52</v>
      </c>
      <c r="C1912" s="35" t="s">
        <v>65</v>
      </c>
      <c r="D1912" s="35" t="s">
        <v>239</v>
      </c>
      <c r="E1912" s="35">
        <v>18</v>
      </c>
      <c r="F1912" s="35" t="s">
        <v>85</v>
      </c>
      <c r="G1912" s="35">
        <v>8.2100000000000009</v>
      </c>
    </row>
    <row r="1913" spans="1:7" x14ac:dyDescent="0.2">
      <c r="A1913" s="35" t="s">
        <v>52</v>
      </c>
      <c r="B1913" s="35" t="s">
        <v>52</v>
      </c>
      <c r="C1913" s="35" t="s">
        <v>65</v>
      </c>
      <c r="D1913" s="35" t="s">
        <v>240</v>
      </c>
      <c r="E1913" s="35">
        <v>18</v>
      </c>
      <c r="F1913" s="35" t="s">
        <v>85</v>
      </c>
      <c r="G1913" s="35">
        <v>8.19</v>
      </c>
    </row>
    <row r="1914" spans="1:7" x14ac:dyDescent="0.2">
      <c r="A1914" s="35" t="s">
        <v>52</v>
      </c>
      <c r="B1914" s="35" t="s">
        <v>52</v>
      </c>
      <c r="C1914" s="35" t="s">
        <v>65</v>
      </c>
      <c r="D1914" s="35" t="s">
        <v>245</v>
      </c>
      <c r="E1914" s="35">
        <v>18</v>
      </c>
      <c r="F1914" s="35" t="s">
        <v>85</v>
      </c>
      <c r="G1914" s="35">
        <v>8.1999999999999993</v>
      </c>
    </row>
    <row r="1915" spans="1:7" x14ac:dyDescent="0.2">
      <c r="A1915" s="35" t="s">
        <v>52</v>
      </c>
      <c r="B1915" s="35" t="s">
        <v>52</v>
      </c>
      <c r="C1915" s="35" t="s">
        <v>223</v>
      </c>
      <c r="D1915" s="35" t="s">
        <v>241</v>
      </c>
      <c r="E1915" s="35">
        <v>18</v>
      </c>
      <c r="F1915" s="35" t="s">
        <v>85</v>
      </c>
      <c r="G1915" s="35">
        <v>8</v>
      </c>
    </row>
    <row r="1916" spans="1:7" x14ac:dyDescent="0.2">
      <c r="A1916" s="35" t="s">
        <v>52</v>
      </c>
      <c r="B1916" s="35" t="s">
        <v>52</v>
      </c>
      <c r="C1916" s="35" t="s">
        <v>223</v>
      </c>
      <c r="D1916" s="35" t="s">
        <v>246</v>
      </c>
      <c r="E1916" s="35">
        <v>18</v>
      </c>
      <c r="F1916" s="35" t="s">
        <v>85</v>
      </c>
      <c r="G1916" s="35">
        <v>8.01</v>
      </c>
    </row>
    <row r="1917" spans="1:7" x14ac:dyDescent="0.2">
      <c r="A1917" s="35" t="s">
        <v>52</v>
      </c>
      <c r="B1917" s="35" t="s">
        <v>52</v>
      </c>
      <c r="C1917" s="35" t="s">
        <v>223</v>
      </c>
      <c r="D1917" s="35" t="s">
        <v>242</v>
      </c>
      <c r="E1917" s="35">
        <v>18</v>
      </c>
      <c r="F1917" s="35" t="s">
        <v>85</v>
      </c>
      <c r="G1917" s="35">
        <v>8.0299999999999994</v>
      </c>
    </row>
    <row r="1918" spans="1:7" x14ac:dyDescent="0.2">
      <c r="A1918" s="35" t="s">
        <v>52</v>
      </c>
      <c r="B1918" s="35" t="s">
        <v>52</v>
      </c>
      <c r="C1918" s="35" t="s">
        <v>223</v>
      </c>
      <c r="D1918" s="35" t="s">
        <v>243</v>
      </c>
      <c r="E1918" s="35">
        <v>18</v>
      </c>
      <c r="F1918" s="35" t="s">
        <v>85</v>
      </c>
      <c r="G1918" s="35">
        <v>8.06</v>
      </c>
    </row>
    <row r="1919" spans="1:7" x14ac:dyDescent="0.2">
      <c r="A1919" s="35" t="s">
        <v>52</v>
      </c>
      <c r="B1919" s="35" t="s">
        <v>52</v>
      </c>
      <c r="C1919" s="35" t="s">
        <v>223</v>
      </c>
      <c r="D1919" s="35" t="s">
        <v>244</v>
      </c>
      <c r="E1919" s="35">
        <v>18</v>
      </c>
      <c r="F1919" s="35" t="s">
        <v>85</v>
      </c>
      <c r="G1919" s="35">
        <v>8.0299999999999994</v>
      </c>
    </row>
    <row r="1920" spans="1:7" x14ac:dyDescent="0.2">
      <c r="A1920" s="35" t="s">
        <v>52</v>
      </c>
      <c r="B1920" s="35" t="s">
        <v>221</v>
      </c>
      <c r="C1920" s="35" t="s">
        <v>65</v>
      </c>
      <c r="D1920" s="35" t="s">
        <v>225</v>
      </c>
      <c r="E1920" s="35">
        <v>18</v>
      </c>
      <c r="F1920" s="35" t="s">
        <v>85</v>
      </c>
      <c r="G1920" s="35">
        <v>8.18</v>
      </c>
    </row>
    <row r="1921" spans="1:7" x14ac:dyDescent="0.2">
      <c r="A1921" s="35" t="s">
        <v>52</v>
      </c>
      <c r="B1921" s="35" t="s">
        <v>221</v>
      </c>
      <c r="C1921" s="35" t="s">
        <v>223</v>
      </c>
      <c r="D1921" s="35" t="s">
        <v>226</v>
      </c>
      <c r="E1921" s="35">
        <v>18</v>
      </c>
      <c r="F1921" s="35" t="s">
        <v>85</v>
      </c>
      <c r="G1921" s="35">
        <v>8.08</v>
      </c>
    </row>
    <row r="1922" spans="1:7" x14ac:dyDescent="0.2">
      <c r="A1922" s="35" t="s">
        <v>75</v>
      </c>
      <c r="B1922" s="35" t="s">
        <v>75</v>
      </c>
      <c r="C1922" s="35" t="s">
        <v>65</v>
      </c>
      <c r="D1922" s="35" t="s">
        <v>233</v>
      </c>
      <c r="E1922" s="35">
        <v>21</v>
      </c>
      <c r="F1922" s="35" t="s">
        <v>85</v>
      </c>
      <c r="G1922" s="35">
        <v>8.06</v>
      </c>
    </row>
    <row r="1923" spans="1:7" x14ac:dyDescent="0.2">
      <c r="A1923" s="35" t="s">
        <v>75</v>
      </c>
      <c r="B1923" s="35" t="s">
        <v>75</v>
      </c>
      <c r="C1923" s="35" t="s">
        <v>65</v>
      </c>
      <c r="D1923" s="35" t="s">
        <v>227</v>
      </c>
      <c r="E1923" s="35">
        <v>21</v>
      </c>
      <c r="F1923" s="35" t="s">
        <v>85</v>
      </c>
      <c r="G1923" s="35">
        <v>8.06</v>
      </c>
    </row>
    <row r="1924" spans="1:7" x14ac:dyDescent="0.2">
      <c r="A1924" s="35" t="s">
        <v>75</v>
      </c>
      <c r="B1924" s="35" t="s">
        <v>75</v>
      </c>
      <c r="C1924" s="35" t="s">
        <v>65</v>
      </c>
      <c r="D1924" s="35" t="s">
        <v>228</v>
      </c>
      <c r="E1924" s="35">
        <v>21</v>
      </c>
      <c r="F1924" s="35" t="s">
        <v>85</v>
      </c>
      <c r="G1924" s="35">
        <v>8.0500000000000007</v>
      </c>
    </row>
    <row r="1925" spans="1:7" x14ac:dyDescent="0.2">
      <c r="A1925" s="35" t="s">
        <v>75</v>
      </c>
      <c r="B1925" s="35" t="s">
        <v>75</v>
      </c>
      <c r="C1925" s="35" t="s">
        <v>65</v>
      </c>
      <c r="D1925" s="35" t="s">
        <v>229</v>
      </c>
      <c r="E1925" s="35">
        <v>21</v>
      </c>
      <c r="F1925" s="35" t="s">
        <v>85</v>
      </c>
      <c r="G1925" s="35">
        <v>8.0399999999999991</v>
      </c>
    </row>
    <row r="1926" spans="1:7" x14ac:dyDescent="0.2">
      <c r="A1926" s="35" t="s">
        <v>75</v>
      </c>
      <c r="B1926" s="35" t="s">
        <v>75</v>
      </c>
      <c r="C1926" s="35" t="s">
        <v>65</v>
      </c>
      <c r="D1926" s="35" t="s">
        <v>234</v>
      </c>
      <c r="E1926" s="35">
        <v>21</v>
      </c>
      <c r="F1926" s="35" t="s">
        <v>85</v>
      </c>
      <c r="G1926" s="35">
        <v>8.06</v>
      </c>
    </row>
    <row r="1927" spans="1:7" x14ac:dyDescent="0.2">
      <c r="A1927" s="35" t="s">
        <v>75</v>
      </c>
      <c r="B1927" s="35" t="s">
        <v>75</v>
      </c>
      <c r="C1927" s="35" t="s">
        <v>223</v>
      </c>
      <c r="D1927" s="35" t="s">
        <v>230</v>
      </c>
      <c r="E1927" s="35">
        <v>21</v>
      </c>
      <c r="F1927" s="35" t="s">
        <v>85</v>
      </c>
      <c r="G1927" s="35">
        <v>8.0299999999999994</v>
      </c>
    </row>
    <row r="1928" spans="1:7" x14ac:dyDescent="0.2">
      <c r="A1928" s="35" t="s">
        <v>75</v>
      </c>
      <c r="B1928" s="35" t="s">
        <v>75</v>
      </c>
      <c r="C1928" s="35" t="s">
        <v>223</v>
      </c>
      <c r="D1928" s="35" t="s">
        <v>231</v>
      </c>
      <c r="E1928" s="35">
        <v>21</v>
      </c>
      <c r="F1928" s="35" t="s">
        <v>85</v>
      </c>
      <c r="G1928" s="35">
        <v>8.02</v>
      </c>
    </row>
    <row r="1929" spans="1:7" x14ac:dyDescent="0.2">
      <c r="A1929" s="35" t="s">
        <v>75</v>
      </c>
      <c r="B1929" s="35" t="s">
        <v>75</v>
      </c>
      <c r="C1929" s="35" t="s">
        <v>223</v>
      </c>
      <c r="D1929" s="35" t="s">
        <v>235</v>
      </c>
      <c r="E1929" s="35">
        <v>21</v>
      </c>
      <c r="F1929" s="35" t="s">
        <v>85</v>
      </c>
      <c r="G1929" s="35">
        <v>8.02</v>
      </c>
    </row>
    <row r="1930" spans="1:7" x14ac:dyDescent="0.2">
      <c r="A1930" s="35" t="s">
        <v>75</v>
      </c>
      <c r="B1930" s="35" t="s">
        <v>75</v>
      </c>
      <c r="C1930" s="35" t="s">
        <v>223</v>
      </c>
      <c r="D1930" s="35" t="s">
        <v>232</v>
      </c>
      <c r="E1930" s="35">
        <v>21</v>
      </c>
      <c r="F1930" s="35" t="s">
        <v>85</v>
      </c>
      <c r="G1930" s="35">
        <v>8</v>
      </c>
    </row>
    <row r="1931" spans="1:7" x14ac:dyDescent="0.2">
      <c r="A1931" s="35" t="s">
        <v>75</v>
      </c>
      <c r="B1931" s="35" t="s">
        <v>75</v>
      </c>
      <c r="C1931" s="35" t="s">
        <v>223</v>
      </c>
      <c r="D1931" s="35" t="s">
        <v>236</v>
      </c>
      <c r="E1931" s="35">
        <v>21</v>
      </c>
      <c r="F1931" s="35" t="s">
        <v>85</v>
      </c>
      <c r="G1931" s="35">
        <v>8</v>
      </c>
    </row>
    <row r="1932" spans="1:7" x14ac:dyDescent="0.2">
      <c r="A1932" s="35" t="s">
        <v>75</v>
      </c>
      <c r="B1932" s="35" t="s">
        <v>221</v>
      </c>
      <c r="C1932" s="35" t="s">
        <v>65</v>
      </c>
      <c r="D1932" s="35" t="s">
        <v>222</v>
      </c>
      <c r="E1932" s="35">
        <v>21</v>
      </c>
      <c r="F1932" s="35" t="s">
        <v>85</v>
      </c>
      <c r="G1932" s="35">
        <v>8.07</v>
      </c>
    </row>
    <row r="1933" spans="1:7" x14ac:dyDescent="0.2">
      <c r="A1933" s="35" t="s">
        <v>75</v>
      </c>
      <c r="B1933" s="35" t="s">
        <v>221</v>
      </c>
      <c r="C1933" s="35" t="s">
        <v>223</v>
      </c>
      <c r="D1933" s="35" t="s">
        <v>224</v>
      </c>
      <c r="E1933" s="35">
        <v>21</v>
      </c>
      <c r="F1933" s="35" t="s">
        <v>85</v>
      </c>
      <c r="G1933" s="35">
        <v>7.76</v>
      </c>
    </row>
    <row r="1934" spans="1:7" x14ac:dyDescent="0.2">
      <c r="A1934" s="35" t="s">
        <v>52</v>
      </c>
      <c r="B1934" s="35" t="s">
        <v>52</v>
      </c>
      <c r="C1934" s="35" t="s">
        <v>65</v>
      </c>
      <c r="D1934" s="35" t="s">
        <v>237</v>
      </c>
      <c r="E1934" s="35">
        <v>21</v>
      </c>
      <c r="F1934" s="35" t="s">
        <v>85</v>
      </c>
      <c r="G1934" s="35">
        <v>8.15</v>
      </c>
    </row>
    <row r="1935" spans="1:7" x14ac:dyDescent="0.2">
      <c r="A1935" s="35" t="s">
        <v>52</v>
      </c>
      <c r="B1935" s="35" t="s">
        <v>52</v>
      </c>
      <c r="C1935" s="35" t="s">
        <v>65</v>
      </c>
      <c r="D1935" s="35" t="s">
        <v>238</v>
      </c>
      <c r="E1935" s="35">
        <v>21</v>
      </c>
      <c r="F1935" s="35" t="s">
        <v>85</v>
      </c>
      <c r="G1935" s="35">
        <v>8.17</v>
      </c>
    </row>
    <row r="1936" spans="1:7" x14ac:dyDescent="0.2">
      <c r="A1936" s="35" t="s">
        <v>52</v>
      </c>
      <c r="B1936" s="35" t="s">
        <v>52</v>
      </c>
      <c r="C1936" s="35" t="s">
        <v>65</v>
      </c>
      <c r="D1936" s="35" t="s">
        <v>239</v>
      </c>
      <c r="E1936" s="35">
        <v>21</v>
      </c>
      <c r="F1936" s="35" t="s">
        <v>85</v>
      </c>
      <c r="G1936" s="35">
        <v>8.25</v>
      </c>
    </row>
    <row r="1937" spans="1:7" x14ac:dyDescent="0.2">
      <c r="A1937" s="35" t="s">
        <v>52</v>
      </c>
      <c r="B1937" s="35" t="s">
        <v>52</v>
      </c>
      <c r="C1937" s="35" t="s">
        <v>65</v>
      </c>
      <c r="D1937" s="35" t="s">
        <v>240</v>
      </c>
      <c r="E1937" s="35">
        <v>21</v>
      </c>
      <c r="F1937" s="35" t="s">
        <v>85</v>
      </c>
      <c r="G1937" s="35">
        <v>8.2200000000000006</v>
      </c>
    </row>
    <row r="1938" spans="1:7" x14ac:dyDescent="0.2">
      <c r="A1938" s="35" t="s">
        <v>52</v>
      </c>
      <c r="B1938" s="35" t="s">
        <v>52</v>
      </c>
      <c r="C1938" s="35" t="s">
        <v>65</v>
      </c>
      <c r="D1938" s="35" t="s">
        <v>245</v>
      </c>
      <c r="E1938" s="35">
        <v>21</v>
      </c>
      <c r="F1938" s="35" t="s">
        <v>85</v>
      </c>
      <c r="G1938" s="35">
        <v>8.25</v>
      </c>
    </row>
    <row r="1939" spans="1:7" x14ac:dyDescent="0.2">
      <c r="A1939" s="35" t="s">
        <v>52</v>
      </c>
      <c r="B1939" s="35" t="s">
        <v>52</v>
      </c>
      <c r="C1939" s="35" t="s">
        <v>223</v>
      </c>
      <c r="D1939" s="35" t="s">
        <v>241</v>
      </c>
      <c r="E1939" s="35">
        <v>21</v>
      </c>
      <c r="F1939" s="35" t="s">
        <v>85</v>
      </c>
      <c r="G1939" s="35">
        <v>8.0399999999999991</v>
      </c>
    </row>
    <row r="1940" spans="1:7" x14ac:dyDescent="0.2">
      <c r="A1940" s="35" t="s">
        <v>52</v>
      </c>
      <c r="B1940" s="35" t="s">
        <v>52</v>
      </c>
      <c r="C1940" s="35" t="s">
        <v>223</v>
      </c>
      <c r="D1940" s="35" t="s">
        <v>246</v>
      </c>
      <c r="E1940" s="35">
        <v>21</v>
      </c>
      <c r="F1940" s="35" t="s">
        <v>85</v>
      </c>
      <c r="G1940" s="35">
        <v>8.07</v>
      </c>
    </row>
    <row r="1941" spans="1:7" x14ac:dyDescent="0.2">
      <c r="A1941" s="35" t="s">
        <v>52</v>
      </c>
      <c r="B1941" s="35" t="s">
        <v>52</v>
      </c>
      <c r="C1941" s="35" t="s">
        <v>223</v>
      </c>
      <c r="D1941" s="35" t="s">
        <v>242</v>
      </c>
      <c r="E1941" s="35">
        <v>21</v>
      </c>
      <c r="F1941" s="35" t="s">
        <v>85</v>
      </c>
      <c r="G1941" s="35">
        <v>8.09</v>
      </c>
    </row>
    <row r="1942" spans="1:7" x14ac:dyDescent="0.2">
      <c r="A1942" s="35" t="s">
        <v>52</v>
      </c>
      <c r="B1942" s="35" t="s">
        <v>52</v>
      </c>
      <c r="C1942" s="35" t="s">
        <v>223</v>
      </c>
      <c r="D1942" s="35" t="s">
        <v>243</v>
      </c>
      <c r="E1942" s="35">
        <v>21</v>
      </c>
      <c r="F1942" s="35" t="s">
        <v>85</v>
      </c>
      <c r="G1942" s="35">
        <v>8.09</v>
      </c>
    </row>
    <row r="1943" spans="1:7" x14ac:dyDescent="0.2">
      <c r="A1943" s="35" t="s">
        <v>52</v>
      </c>
      <c r="B1943" s="35" t="s">
        <v>52</v>
      </c>
      <c r="C1943" s="35" t="s">
        <v>223</v>
      </c>
      <c r="D1943" s="35" t="s">
        <v>244</v>
      </c>
      <c r="E1943" s="35">
        <v>21</v>
      </c>
      <c r="F1943" s="35" t="s">
        <v>85</v>
      </c>
      <c r="G1943" s="35">
        <v>8.07</v>
      </c>
    </row>
    <row r="1944" spans="1:7" x14ac:dyDescent="0.2">
      <c r="A1944" s="35" t="s">
        <v>52</v>
      </c>
      <c r="B1944" s="35" t="s">
        <v>221</v>
      </c>
      <c r="C1944" s="35" t="s">
        <v>65</v>
      </c>
      <c r="D1944" s="35" t="s">
        <v>225</v>
      </c>
      <c r="E1944" s="35">
        <v>21</v>
      </c>
      <c r="F1944" s="35" t="s">
        <v>85</v>
      </c>
      <c r="G1944" s="35">
        <v>8.5299999999999994</v>
      </c>
    </row>
    <row r="1945" spans="1:7" x14ac:dyDescent="0.2">
      <c r="A1945" s="35" t="s">
        <v>52</v>
      </c>
      <c r="B1945" s="35" t="s">
        <v>221</v>
      </c>
      <c r="C1945" s="35" t="s">
        <v>223</v>
      </c>
      <c r="D1945" s="35" t="s">
        <v>226</v>
      </c>
      <c r="E1945" s="35">
        <v>21</v>
      </c>
      <c r="F1945" s="35" t="s">
        <v>85</v>
      </c>
      <c r="G1945" s="35">
        <v>8.11</v>
      </c>
    </row>
    <row r="1946" spans="1:7" x14ac:dyDescent="0.2">
      <c r="A1946" s="35" t="s">
        <v>75</v>
      </c>
      <c r="B1946" s="35" t="s">
        <v>75</v>
      </c>
      <c r="C1946" s="35" t="s">
        <v>65</v>
      </c>
      <c r="D1946" s="35" t="s">
        <v>233</v>
      </c>
      <c r="E1946" s="35">
        <v>24</v>
      </c>
      <c r="F1946" s="35" t="s">
        <v>85</v>
      </c>
      <c r="G1946" s="35">
        <v>7.97</v>
      </c>
    </row>
    <row r="1947" spans="1:7" x14ac:dyDescent="0.2">
      <c r="A1947" s="35" t="s">
        <v>75</v>
      </c>
      <c r="B1947" s="35" t="s">
        <v>75</v>
      </c>
      <c r="C1947" s="35" t="s">
        <v>65</v>
      </c>
      <c r="D1947" s="35" t="s">
        <v>227</v>
      </c>
      <c r="E1947" s="35">
        <v>24</v>
      </c>
      <c r="F1947" s="35" t="s">
        <v>85</v>
      </c>
      <c r="G1947" s="35">
        <v>7.94</v>
      </c>
    </row>
    <row r="1948" spans="1:7" x14ac:dyDescent="0.2">
      <c r="A1948" s="35" t="s">
        <v>75</v>
      </c>
      <c r="B1948" s="35" t="s">
        <v>75</v>
      </c>
      <c r="C1948" s="35" t="s">
        <v>65</v>
      </c>
      <c r="D1948" s="35" t="s">
        <v>228</v>
      </c>
      <c r="E1948" s="35">
        <v>24</v>
      </c>
      <c r="F1948" s="35" t="s">
        <v>85</v>
      </c>
      <c r="G1948" s="35">
        <v>7.93</v>
      </c>
    </row>
    <row r="1949" spans="1:7" x14ac:dyDescent="0.2">
      <c r="A1949" s="35" t="s">
        <v>75</v>
      </c>
      <c r="B1949" s="35" t="s">
        <v>75</v>
      </c>
      <c r="C1949" s="35" t="s">
        <v>65</v>
      </c>
      <c r="D1949" s="35" t="s">
        <v>229</v>
      </c>
      <c r="E1949" s="35">
        <v>24</v>
      </c>
      <c r="F1949" s="35" t="s">
        <v>85</v>
      </c>
      <c r="G1949" s="35">
        <v>7.99</v>
      </c>
    </row>
    <row r="1950" spans="1:7" x14ac:dyDescent="0.2">
      <c r="A1950" s="35" t="s">
        <v>75</v>
      </c>
      <c r="B1950" s="35" t="s">
        <v>75</v>
      </c>
      <c r="C1950" s="35" t="s">
        <v>65</v>
      </c>
      <c r="D1950" s="35" t="s">
        <v>234</v>
      </c>
      <c r="E1950" s="35">
        <v>24</v>
      </c>
      <c r="F1950" s="35" t="s">
        <v>85</v>
      </c>
      <c r="G1950" s="35">
        <v>7.98</v>
      </c>
    </row>
    <row r="1951" spans="1:7" x14ac:dyDescent="0.2">
      <c r="A1951" s="35" t="s">
        <v>75</v>
      </c>
      <c r="B1951" s="35" t="s">
        <v>75</v>
      </c>
      <c r="C1951" s="35" t="s">
        <v>223</v>
      </c>
      <c r="D1951" s="35" t="s">
        <v>230</v>
      </c>
      <c r="E1951" s="35">
        <v>24</v>
      </c>
      <c r="F1951" s="35" t="s">
        <v>85</v>
      </c>
      <c r="G1951" s="35">
        <v>7.96</v>
      </c>
    </row>
    <row r="1952" spans="1:7" x14ac:dyDescent="0.2">
      <c r="A1952" s="35" t="s">
        <v>75</v>
      </c>
      <c r="B1952" s="35" t="s">
        <v>75</v>
      </c>
      <c r="C1952" s="35" t="s">
        <v>223</v>
      </c>
      <c r="D1952" s="35" t="s">
        <v>231</v>
      </c>
      <c r="E1952" s="35">
        <v>24</v>
      </c>
      <c r="F1952" s="35" t="s">
        <v>85</v>
      </c>
      <c r="G1952" s="35">
        <v>7.93</v>
      </c>
    </row>
    <row r="1953" spans="1:7" x14ac:dyDescent="0.2">
      <c r="A1953" s="35" t="s">
        <v>75</v>
      </c>
      <c r="B1953" s="35" t="s">
        <v>75</v>
      </c>
      <c r="C1953" s="35" t="s">
        <v>223</v>
      </c>
      <c r="D1953" s="35" t="s">
        <v>235</v>
      </c>
      <c r="E1953" s="35">
        <v>24</v>
      </c>
      <c r="F1953" s="35" t="s">
        <v>85</v>
      </c>
      <c r="G1953" s="35">
        <v>7.95</v>
      </c>
    </row>
    <row r="1954" spans="1:7" x14ac:dyDescent="0.2">
      <c r="A1954" s="35" t="s">
        <v>75</v>
      </c>
      <c r="B1954" s="35" t="s">
        <v>75</v>
      </c>
      <c r="C1954" s="35" t="s">
        <v>223</v>
      </c>
      <c r="D1954" s="35" t="s">
        <v>232</v>
      </c>
      <c r="E1954" s="35">
        <v>24</v>
      </c>
      <c r="F1954" s="35" t="s">
        <v>85</v>
      </c>
      <c r="G1954" s="35">
        <v>7.95</v>
      </c>
    </row>
    <row r="1955" spans="1:7" x14ac:dyDescent="0.2">
      <c r="A1955" s="35" t="s">
        <v>75</v>
      </c>
      <c r="B1955" s="35" t="s">
        <v>75</v>
      </c>
      <c r="C1955" s="35" t="s">
        <v>223</v>
      </c>
      <c r="D1955" s="35" t="s">
        <v>236</v>
      </c>
      <c r="E1955" s="35">
        <v>24</v>
      </c>
      <c r="F1955" s="35" t="s">
        <v>85</v>
      </c>
      <c r="G1955" s="35">
        <v>7.96</v>
      </c>
    </row>
    <row r="1956" spans="1:7" x14ac:dyDescent="0.2">
      <c r="A1956" s="35" t="s">
        <v>75</v>
      </c>
      <c r="B1956" s="35" t="s">
        <v>221</v>
      </c>
      <c r="C1956" s="35" t="s">
        <v>65</v>
      </c>
      <c r="D1956" s="35" t="s">
        <v>222</v>
      </c>
      <c r="E1956" s="35">
        <v>24</v>
      </c>
      <c r="F1956" s="35" t="s">
        <v>85</v>
      </c>
      <c r="G1956" s="35">
        <v>7.95</v>
      </c>
    </row>
    <row r="1957" spans="1:7" x14ac:dyDescent="0.2">
      <c r="A1957" s="35" t="s">
        <v>75</v>
      </c>
      <c r="B1957" s="35" t="s">
        <v>221</v>
      </c>
      <c r="C1957" s="35" t="s">
        <v>223</v>
      </c>
      <c r="D1957" s="35" t="s">
        <v>224</v>
      </c>
      <c r="E1957" s="35">
        <v>24</v>
      </c>
      <c r="F1957" s="35" t="s">
        <v>85</v>
      </c>
      <c r="G1957" s="35">
        <v>7.94</v>
      </c>
    </row>
    <row r="1958" spans="1:7" x14ac:dyDescent="0.2">
      <c r="A1958" s="35" t="s">
        <v>52</v>
      </c>
      <c r="B1958" s="35" t="s">
        <v>52</v>
      </c>
      <c r="C1958" s="35" t="s">
        <v>65</v>
      </c>
      <c r="D1958" s="35" t="s">
        <v>237</v>
      </c>
      <c r="E1958" s="35">
        <v>24</v>
      </c>
      <c r="F1958" s="35" t="s">
        <v>85</v>
      </c>
      <c r="G1958" s="35">
        <v>7.93</v>
      </c>
    </row>
    <row r="1959" spans="1:7" x14ac:dyDescent="0.2">
      <c r="A1959" s="35" t="s">
        <v>52</v>
      </c>
      <c r="B1959" s="35" t="s">
        <v>52</v>
      </c>
      <c r="C1959" s="35" t="s">
        <v>65</v>
      </c>
      <c r="D1959" s="35" t="s">
        <v>238</v>
      </c>
      <c r="E1959" s="35">
        <v>24</v>
      </c>
      <c r="F1959" s="35" t="s">
        <v>85</v>
      </c>
      <c r="G1959" s="35">
        <v>7.94</v>
      </c>
    </row>
    <row r="1960" spans="1:7" x14ac:dyDescent="0.2">
      <c r="A1960" s="35" t="s">
        <v>52</v>
      </c>
      <c r="B1960" s="35" t="s">
        <v>52</v>
      </c>
      <c r="C1960" s="35" t="s">
        <v>65</v>
      </c>
      <c r="D1960" s="35" t="s">
        <v>239</v>
      </c>
      <c r="E1960" s="35">
        <v>24</v>
      </c>
      <c r="F1960" s="35" t="s">
        <v>85</v>
      </c>
      <c r="G1960" s="35">
        <v>7.99</v>
      </c>
    </row>
    <row r="1961" spans="1:7" x14ac:dyDescent="0.2">
      <c r="A1961" s="35" t="s">
        <v>52</v>
      </c>
      <c r="B1961" s="35" t="s">
        <v>52</v>
      </c>
      <c r="C1961" s="35" t="s">
        <v>65</v>
      </c>
      <c r="D1961" s="35" t="s">
        <v>240</v>
      </c>
      <c r="E1961" s="35">
        <v>24</v>
      </c>
      <c r="F1961" s="35" t="s">
        <v>85</v>
      </c>
      <c r="G1961" s="35">
        <v>7.99</v>
      </c>
    </row>
    <row r="1962" spans="1:7" x14ac:dyDescent="0.2">
      <c r="A1962" s="35" t="s">
        <v>52</v>
      </c>
      <c r="B1962" s="35" t="s">
        <v>52</v>
      </c>
      <c r="C1962" s="35" t="s">
        <v>65</v>
      </c>
      <c r="D1962" s="35" t="s">
        <v>245</v>
      </c>
      <c r="E1962" s="35">
        <v>24</v>
      </c>
      <c r="F1962" s="35" t="s">
        <v>85</v>
      </c>
      <c r="G1962" s="35">
        <v>8</v>
      </c>
    </row>
    <row r="1963" spans="1:7" x14ac:dyDescent="0.2">
      <c r="A1963" s="35" t="s">
        <v>52</v>
      </c>
      <c r="B1963" s="35" t="s">
        <v>52</v>
      </c>
      <c r="C1963" s="35" t="s">
        <v>223</v>
      </c>
      <c r="D1963" s="35" t="s">
        <v>241</v>
      </c>
      <c r="E1963" s="35">
        <v>24</v>
      </c>
      <c r="F1963" s="35" t="s">
        <v>85</v>
      </c>
      <c r="G1963" s="35">
        <v>7.86</v>
      </c>
    </row>
    <row r="1964" spans="1:7" x14ac:dyDescent="0.2">
      <c r="A1964" s="35" t="s">
        <v>52</v>
      </c>
      <c r="B1964" s="35" t="s">
        <v>52</v>
      </c>
      <c r="C1964" s="35" t="s">
        <v>223</v>
      </c>
      <c r="D1964" s="35" t="s">
        <v>246</v>
      </c>
      <c r="E1964" s="35">
        <v>24</v>
      </c>
      <c r="F1964" s="35" t="s">
        <v>85</v>
      </c>
      <c r="G1964" s="35">
        <v>7.9</v>
      </c>
    </row>
    <row r="1965" spans="1:7" x14ac:dyDescent="0.2">
      <c r="A1965" s="35" t="s">
        <v>52</v>
      </c>
      <c r="B1965" s="35" t="s">
        <v>52</v>
      </c>
      <c r="C1965" s="35" t="s">
        <v>223</v>
      </c>
      <c r="D1965" s="35" t="s">
        <v>242</v>
      </c>
      <c r="E1965" s="35">
        <v>24</v>
      </c>
      <c r="F1965" s="35" t="s">
        <v>85</v>
      </c>
      <c r="G1965" s="35">
        <v>7.92</v>
      </c>
    </row>
    <row r="1966" spans="1:7" x14ac:dyDescent="0.2">
      <c r="A1966" s="35" t="s">
        <v>52</v>
      </c>
      <c r="B1966" s="35" t="s">
        <v>52</v>
      </c>
      <c r="C1966" s="35" t="s">
        <v>223</v>
      </c>
      <c r="D1966" s="35" t="s">
        <v>243</v>
      </c>
      <c r="E1966" s="35">
        <v>24</v>
      </c>
      <c r="F1966" s="35" t="s">
        <v>85</v>
      </c>
      <c r="G1966" s="35">
        <v>8.01</v>
      </c>
    </row>
    <row r="1967" spans="1:7" x14ac:dyDescent="0.2">
      <c r="A1967" s="35" t="s">
        <v>52</v>
      </c>
      <c r="B1967" s="35" t="s">
        <v>52</v>
      </c>
      <c r="C1967" s="35" t="s">
        <v>223</v>
      </c>
      <c r="D1967" s="35" t="s">
        <v>244</v>
      </c>
      <c r="E1967" s="35">
        <v>24</v>
      </c>
      <c r="F1967" s="35" t="s">
        <v>85</v>
      </c>
      <c r="G1967" s="35">
        <v>7.97</v>
      </c>
    </row>
    <row r="1968" spans="1:7" x14ac:dyDescent="0.2">
      <c r="A1968" s="35" t="s">
        <v>52</v>
      </c>
      <c r="B1968" s="35" t="s">
        <v>221</v>
      </c>
      <c r="C1968" s="35" t="s">
        <v>65</v>
      </c>
      <c r="D1968" s="35" t="s">
        <v>225</v>
      </c>
      <c r="E1968" s="35">
        <v>24</v>
      </c>
      <c r="F1968" s="35" t="s">
        <v>85</v>
      </c>
      <c r="G1968" s="35">
        <v>7.79</v>
      </c>
    </row>
    <row r="1969" spans="1:7" x14ac:dyDescent="0.2">
      <c r="A1969" s="35" t="s">
        <v>52</v>
      </c>
      <c r="B1969" s="35" t="s">
        <v>221</v>
      </c>
      <c r="C1969" s="35" t="s">
        <v>223</v>
      </c>
      <c r="D1969" s="35" t="s">
        <v>226</v>
      </c>
      <c r="E1969" s="35">
        <v>24</v>
      </c>
      <c r="F1969" s="35" t="s">
        <v>85</v>
      </c>
      <c r="G1969" s="35">
        <v>8</v>
      </c>
    </row>
    <row r="1970" spans="1:7" x14ac:dyDescent="0.2">
      <c r="A1970" s="35" t="s">
        <v>75</v>
      </c>
      <c r="B1970" s="35" t="s">
        <v>75</v>
      </c>
      <c r="C1970" s="35" t="s">
        <v>65</v>
      </c>
      <c r="D1970" s="35" t="s">
        <v>233</v>
      </c>
      <c r="E1970" s="35">
        <v>27</v>
      </c>
      <c r="F1970" s="35" t="s">
        <v>85</v>
      </c>
      <c r="G1970" s="35">
        <v>7.93</v>
      </c>
    </row>
    <row r="1971" spans="1:7" x14ac:dyDescent="0.2">
      <c r="A1971" s="35" t="s">
        <v>75</v>
      </c>
      <c r="B1971" s="35" t="s">
        <v>75</v>
      </c>
      <c r="C1971" s="35" t="s">
        <v>65</v>
      </c>
      <c r="D1971" s="35" t="s">
        <v>227</v>
      </c>
      <c r="E1971" s="35">
        <v>27</v>
      </c>
      <c r="F1971" s="35" t="s">
        <v>85</v>
      </c>
      <c r="G1971" s="35">
        <v>7.93</v>
      </c>
    </row>
    <row r="1972" spans="1:7" x14ac:dyDescent="0.2">
      <c r="A1972" s="35" t="s">
        <v>75</v>
      </c>
      <c r="B1972" s="35" t="s">
        <v>75</v>
      </c>
      <c r="C1972" s="35" t="s">
        <v>65</v>
      </c>
      <c r="D1972" s="35" t="s">
        <v>228</v>
      </c>
      <c r="E1972" s="35">
        <v>27</v>
      </c>
      <c r="F1972" s="35" t="s">
        <v>85</v>
      </c>
      <c r="G1972" s="35">
        <v>7.93</v>
      </c>
    </row>
    <row r="1973" spans="1:7" x14ac:dyDescent="0.2">
      <c r="A1973" s="35" t="s">
        <v>75</v>
      </c>
      <c r="B1973" s="35" t="s">
        <v>75</v>
      </c>
      <c r="C1973" s="35" t="s">
        <v>65</v>
      </c>
      <c r="D1973" s="35" t="s">
        <v>229</v>
      </c>
      <c r="E1973" s="35">
        <v>27</v>
      </c>
      <c r="F1973" s="35" t="s">
        <v>85</v>
      </c>
      <c r="G1973" s="35">
        <v>7.94</v>
      </c>
    </row>
    <row r="1974" spans="1:7" x14ac:dyDescent="0.2">
      <c r="A1974" s="35" t="s">
        <v>75</v>
      </c>
      <c r="B1974" s="35" t="s">
        <v>75</v>
      </c>
      <c r="C1974" s="35" t="s">
        <v>65</v>
      </c>
      <c r="D1974" s="35" t="s">
        <v>234</v>
      </c>
      <c r="E1974" s="35">
        <v>27</v>
      </c>
      <c r="F1974" s="35" t="s">
        <v>85</v>
      </c>
      <c r="G1974" s="35">
        <v>7.94</v>
      </c>
    </row>
    <row r="1975" spans="1:7" x14ac:dyDescent="0.2">
      <c r="A1975" s="35" t="s">
        <v>75</v>
      </c>
      <c r="B1975" s="35" t="s">
        <v>75</v>
      </c>
      <c r="C1975" s="35" t="s">
        <v>223</v>
      </c>
      <c r="D1975" s="35" t="s">
        <v>230</v>
      </c>
      <c r="E1975" s="35">
        <v>27</v>
      </c>
      <c r="F1975" s="35" t="s">
        <v>85</v>
      </c>
      <c r="G1975" s="35">
        <v>7.95</v>
      </c>
    </row>
    <row r="1976" spans="1:7" x14ac:dyDescent="0.2">
      <c r="A1976" s="35" t="s">
        <v>75</v>
      </c>
      <c r="B1976" s="35" t="s">
        <v>75</v>
      </c>
      <c r="C1976" s="35" t="s">
        <v>223</v>
      </c>
      <c r="D1976" s="35" t="s">
        <v>231</v>
      </c>
      <c r="E1976" s="35">
        <v>27</v>
      </c>
      <c r="F1976" s="35" t="s">
        <v>85</v>
      </c>
      <c r="G1976" s="35">
        <v>7.92</v>
      </c>
    </row>
    <row r="1977" spans="1:7" x14ac:dyDescent="0.2">
      <c r="A1977" s="35" t="s">
        <v>75</v>
      </c>
      <c r="B1977" s="35" t="s">
        <v>75</v>
      </c>
      <c r="C1977" s="35" t="s">
        <v>223</v>
      </c>
      <c r="D1977" s="35" t="s">
        <v>235</v>
      </c>
      <c r="E1977" s="35">
        <v>27</v>
      </c>
      <c r="F1977" s="35" t="s">
        <v>85</v>
      </c>
      <c r="G1977" s="35">
        <v>7.93</v>
      </c>
    </row>
    <row r="1978" spans="1:7" x14ac:dyDescent="0.2">
      <c r="A1978" s="35" t="s">
        <v>75</v>
      </c>
      <c r="B1978" s="35" t="s">
        <v>75</v>
      </c>
      <c r="C1978" s="35" t="s">
        <v>223</v>
      </c>
      <c r="D1978" s="35" t="s">
        <v>232</v>
      </c>
      <c r="E1978" s="35">
        <v>27</v>
      </c>
      <c r="F1978" s="35" t="s">
        <v>85</v>
      </c>
      <c r="G1978" s="35">
        <v>7.93</v>
      </c>
    </row>
    <row r="1979" spans="1:7" x14ac:dyDescent="0.2">
      <c r="A1979" s="35" t="s">
        <v>75</v>
      </c>
      <c r="B1979" s="35" t="s">
        <v>75</v>
      </c>
      <c r="C1979" s="35" t="s">
        <v>223</v>
      </c>
      <c r="D1979" s="35" t="s">
        <v>236</v>
      </c>
      <c r="E1979" s="35">
        <v>27</v>
      </c>
      <c r="F1979" s="35" t="s">
        <v>85</v>
      </c>
      <c r="G1979" s="35">
        <v>7.93</v>
      </c>
    </row>
    <row r="1980" spans="1:7" x14ac:dyDescent="0.2">
      <c r="A1980" s="35" t="s">
        <v>75</v>
      </c>
      <c r="B1980" s="35" t="s">
        <v>221</v>
      </c>
      <c r="C1980" s="35" t="s">
        <v>65</v>
      </c>
      <c r="D1980" s="35" t="s">
        <v>222</v>
      </c>
      <c r="E1980" s="35">
        <v>27</v>
      </c>
      <c r="F1980" s="35" t="s">
        <v>85</v>
      </c>
      <c r="G1980" s="35">
        <v>7.93</v>
      </c>
    </row>
    <row r="1981" spans="1:7" x14ac:dyDescent="0.2">
      <c r="A1981" s="35" t="s">
        <v>75</v>
      </c>
      <c r="B1981" s="35" t="s">
        <v>221</v>
      </c>
      <c r="C1981" s="35" t="s">
        <v>223</v>
      </c>
      <c r="D1981" s="35" t="s">
        <v>224</v>
      </c>
      <c r="E1981" s="35">
        <v>27</v>
      </c>
      <c r="F1981" s="35" t="s">
        <v>85</v>
      </c>
      <c r="G1981" s="35">
        <v>7.92</v>
      </c>
    </row>
    <row r="1982" spans="1:7" x14ac:dyDescent="0.2">
      <c r="A1982" s="35" t="s">
        <v>52</v>
      </c>
      <c r="B1982" s="35" t="s">
        <v>52</v>
      </c>
      <c r="C1982" s="35" t="s">
        <v>65</v>
      </c>
      <c r="D1982" s="35" t="s">
        <v>237</v>
      </c>
      <c r="E1982" s="35">
        <v>27</v>
      </c>
      <c r="F1982" s="35" t="s">
        <v>85</v>
      </c>
      <c r="G1982" s="35">
        <v>7.86</v>
      </c>
    </row>
    <row r="1983" spans="1:7" x14ac:dyDescent="0.2">
      <c r="A1983" s="35" t="s">
        <v>52</v>
      </c>
      <c r="B1983" s="35" t="s">
        <v>52</v>
      </c>
      <c r="C1983" s="35" t="s">
        <v>65</v>
      </c>
      <c r="D1983" s="35" t="s">
        <v>238</v>
      </c>
      <c r="E1983" s="35">
        <v>27</v>
      </c>
      <c r="F1983" s="35" t="s">
        <v>85</v>
      </c>
      <c r="G1983" s="35">
        <v>7.87</v>
      </c>
    </row>
    <row r="1984" spans="1:7" x14ac:dyDescent="0.2">
      <c r="A1984" s="35" t="s">
        <v>52</v>
      </c>
      <c r="B1984" s="35" t="s">
        <v>52</v>
      </c>
      <c r="C1984" s="35" t="s">
        <v>65</v>
      </c>
      <c r="D1984" s="35" t="s">
        <v>239</v>
      </c>
      <c r="E1984" s="35">
        <v>27</v>
      </c>
      <c r="F1984" s="35" t="s">
        <v>85</v>
      </c>
      <c r="G1984" s="35">
        <v>7.9</v>
      </c>
    </row>
    <row r="1985" spans="1:7" x14ac:dyDescent="0.2">
      <c r="A1985" s="35" t="s">
        <v>52</v>
      </c>
      <c r="B1985" s="35" t="s">
        <v>52</v>
      </c>
      <c r="C1985" s="35" t="s">
        <v>65</v>
      </c>
      <c r="D1985" s="35" t="s">
        <v>240</v>
      </c>
      <c r="E1985" s="35">
        <v>27</v>
      </c>
      <c r="F1985" s="35" t="s">
        <v>85</v>
      </c>
      <c r="G1985" s="35">
        <v>7.92</v>
      </c>
    </row>
    <row r="1986" spans="1:7" x14ac:dyDescent="0.2">
      <c r="A1986" s="35" t="s">
        <v>52</v>
      </c>
      <c r="B1986" s="35" t="s">
        <v>52</v>
      </c>
      <c r="C1986" s="35" t="s">
        <v>65</v>
      </c>
      <c r="D1986" s="35" t="s">
        <v>245</v>
      </c>
      <c r="E1986" s="35">
        <v>27</v>
      </c>
      <c r="F1986" s="35" t="s">
        <v>85</v>
      </c>
      <c r="G1986" s="35">
        <v>7.93</v>
      </c>
    </row>
    <row r="1987" spans="1:7" x14ac:dyDescent="0.2">
      <c r="A1987" s="35" t="s">
        <v>52</v>
      </c>
      <c r="B1987" s="35" t="s">
        <v>52</v>
      </c>
      <c r="C1987" s="35" t="s">
        <v>223</v>
      </c>
      <c r="D1987" s="35" t="s">
        <v>241</v>
      </c>
      <c r="E1987" s="35">
        <v>27</v>
      </c>
      <c r="F1987" s="35" t="s">
        <v>85</v>
      </c>
      <c r="G1987" s="35">
        <v>7.94</v>
      </c>
    </row>
    <row r="1988" spans="1:7" x14ac:dyDescent="0.2">
      <c r="A1988" s="35" t="s">
        <v>52</v>
      </c>
      <c r="B1988" s="35" t="s">
        <v>52</v>
      </c>
      <c r="C1988" s="35" t="s">
        <v>223</v>
      </c>
      <c r="D1988" s="35" t="s">
        <v>246</v>
      </c>
      <c r="E1988" s="35">
        <v>27</v>
      </c>
      <c r="F1988" s="35" t="s">
        <v>85</v>
      </c>
      <c r="G1988" s="35">
        <v>7.87</v>
      </c>
    </row>
    <row r="1989" spans="1:7" x14ac:dyDescent="0.2">
      <c r="A1989" s="35" t="s">
        <v>52</v>
      </c>
      <c r="B1989" s="35" t="s">
        <v>52</v>
      </c>
      <c r="C1989" s="35" t="s">
        <v>223</v>
      </c>
      <c r="D1989" s="35" t="s">
        <v>242</v>
      </c>
      <c r="E1989" s="35">
        <v>27</v>
      </c>
      <c r="F1989" s="35" t="s">
        <v>85</v>
      </c>
      <c r="G1989" s="35">
        <v>7.88</v>
      </c>
    </row>
    <row r="1990" spans="1:7" x14ac:dyDescent="0.2">
      <c r="A1990" s="35" t="s">
        <v>52</v>
      </c>
      <c r="B1990" s="35" t="s">
        <v>52</v>
      </c>
      <c r="C1990" s="35" t="s">
        <v>223</v>
      </c>
      <c r="D1990" s="35" t="s">
        <v>243</v>
      </c>
      <c r="E1990" s="35">
        <v>27</v>
      </c>
      <c r="F1990" s="35" t="s">
        <v>85</v>
      </c>
      <c r="G1990" s="35">
        <v>7.87</v>
      </c>
    </row>
    <row r="1991" spans="1:7" x14ac:dyDescent="0.2">
      <c r="A1991" s="35" t="s">
        <v>52</v>
      </c>
      <c r="B1991" s="35" t="s">
        <v>52</v>
      </c>
      <c r="C1991" s="35" t="s">
        <v>223</v>
      </c>
      <c r="D1991" s="35" t="s">
        <v>244</v>
      </c>
      <c r="E1991" s="35">
        <v>27</v>
      </c>
      <c r="F1991" s="35" t="s">
        <v>85</v>
      </c>
      <c r="G1991" s="35">
        <v>7.9</v>
      </c>
    </row>
    <row r="1992" spans="1:7" x14ac:dyDescent="0.2">
      <c r="A1992" s="35" t="s">
        <v>52</v>
      </c>
      <c r="B1992" s="35" t="s">
        <v>221</v>
      </c>
      <c r="C1992" s="35" t="s">
        <v>65</v>
      </c>
      <c r="D1992" s="35" t="s">
        <v>225</v>
      </c>
      <c r="E1992" s="35">
        <v>27</v>
      </c>
      <c r="F1992" s="35" t="s">
        <v>85</v>
      </c>
      <c r="G1992" s="35">
        <v>7.89</v>
      </c>
    </row>
    <row r="1993" spans="1:7" x14ac:dyDescent="0.2">
      <c r="A1993" s="35" t="s">
        <v>52</v>
      </c>
      <c r="B1993" s="35" t="s">
        <v>221</v>
      </c>
      <c r="C1993" s="35" t="s">
        <v>223</v>
      </c>
      <c r="D1993" s="35" t="s">
        <v>226</v>
      </c>
      <c r="E1993" s="35">
        <v>27</v>
      </c>
      <c r="F1993" s="35" t="s">
        <v>85</v>
      </c>
      <c r="G1993" s="35">
        <v>7.93</v>
      </c>
    </row>
    <row r="1994" spans="1:7" x14ac:dyDescent="0.2">
      <c r="A1994" s="35" t="s">
        <v>75</v>
      </c>
      <c r="B1994" s="35" t="s">
        <v>75</v>
      </c>
      <c r="C1994" s="35" t="s">
        <v>65</v>
      </c>
      <c r="D1994" s="35" t="s">
        <v>233</v>
      </c>
      <c r="E1994" s="35">
        <v>30</v>
      </c>
      <c r="F1994" s="35" t="s">
        <v>85</v>
      </c>
      <c r="G1994" s="35">
        <v>8.02</v>
      </c>
    </row>
    <row r="1995" spans="1:7" x14ac:dyDescent="0.2">
      <c r="A1995" s="35" t="s">
        <v>75</v>
      </c>
      <c r="B1995" s="35" t="s">
        <v>75</v>
      </c>
      <c r="C1995" s="35" t="s">
        <v>65</v>
      </c>
      <c r="D1995" s="35" t="s">
        <v>227</v>
      </c>
      <c r="E1995" s="35">
        <v>30</v>
      </c>
      <c r="F1995" s="35" t="s">
        <v>85</v>
      </c>
      <c r="G1995" s="35">
        <v>8.0299999999999994</v>
      </c>
    </row>
    <row r="1996" spans="1:7" x14ac:dyDescent="0.2">
      <c r="A1996" s="35" t="s">
        <v>75</v>
      </c>
      <c r="B1996" s="35" t="s">
        <v>75</v>
      </c>
      <c r="C1996" s="35" t="s">
        <v>65</v>
      </c>
      <c r="D1996" s="35" t="s">
        <v>228</v>
      </c>
      <c r="E1996" s="35">
        <v>30</v>
      </c>
      <c r="F1996" s="35" t="s">
        <v>85</v>
      </c>
      <c r="G1996" s="35">
        <v>8.07</v>
      </c>
    </row>
    <row r="1997" spans="1:7" x14ac:dyDescent="0.2">
      <c r="A1997" s="35" t="s">
        <v>75</v>
      </c>
      <c r="B1997" s="35" t="s">
        <v>75</v>
      </c>
      <c r="C1997" s="35" t="s">
        <v>65</v>
      </c>
      <c r="D1997" s="35" t="s">
        <v>229</v>
      </c>
      <c r="E1997" s="35">
        <v>30</v>
      </c>
      <c r="F1997" s="35" t="s">
        <v>85</v>
      </c>
      <c r="G1997" s="35">
        <v>8.0500000000000007</v>
      </c>
    </row>
    <row r="1998" spans="1:7" x14ac:dyDescent="0.2">
      <c r="A1998" s="35" t="s">
        <v>75</v>
      </c>
      <c r="B1998" s="35" t="s">
        <v>75</v>
      </c>
      <c r="C1998" s="35" t="s">
        <v>65</v>
      </c>
      <c r="D1998" s="35" t="s">
        <v>234</v>
      </c>
      <c r="E1998" s="35">
        <v>30</v>
      </c>
      <c r="F1998" s="35" t="s">
        <v>85</v>
      </c>
      <c r="G1998" s="35">
        <v>8.0500000000000007</v>
      </c>
    </row>
    <row r="1999" spans="1:7" x14ac:dyDescent="0.2">
      <c r="A1999" s="35" t="s">
        <v>75</v>
      </c>
      <c r="B1999" s="35" t="s">
        <v>75</v>
      </c>
      <c r="C1999" s="35" t="s">
        <v>223</v>
      </c>
      <c r="D1999" s="35" t="s">
        <v>230</v>
      </c>
      <c r="E1999" s="35">
        <v>30</v>
      </c>
      <c r="F1999" s="35" t="s">
        <v>85</v>
      </c>
      <c r="G1999" s="35">
        <v>8.0299999999999994</v>
      </c>
    </row>
    <row r="2000" spans="1:7" x14ac:dyDescent="0.2">
      <c r="A2000" s="35" t="s">
        <v>75</v>
      </c>
      <c r="B2000" s="35" t="s">
        <v>75</v>
      </c>
      <c r="C2000" s="35" t="s">
        <v>223</v>
      </c>
      <c r="D2000" s="35" t="s">
        <v>231</v>
      </c>
      <c r="E2000" s="35">
        <v>30</v>
      </c>
      <c r="F2000" s="35" t="s">
        <v>85</v>
      </c>
      <c r="G2000" s="35">
        <v>7.98</v>
      </c>
    </row>
    <row r="2001" spans="1:7" x14ac:dyDescent="0.2">
      <c r="A2001" s="35" t="s">
        <v>75</v>
      </c>
      <c r="B2001" s="35" t="s">
        <v>75</v>
      </c>
      <c r="C2001" s="35" t="s">
        <v>223</v>
      </c>
      <c r="D2001" s="35" t="s">
        <v>235</v>
      </c>
      <c r="E2001" s="35">
        <v>30</v>
      </c>
      <c r="F2001" s="35" t="s">
        <v>85</v>
      </c>
      <c r="G2001" s="35">
        <v>7.95</v>
      </c>
    </row>
    <row r="2002" spans="1:7" x14ac:dyDescent="0.2">
      <c r="A2002" s="35" t="s">
        <v>75</v>
      </c>
      <c r="B2002" s="35" t="s">
        <v>75</v>
      </c>
      <c r="C2002" s="35" t="s">
        <v>223</v>
      </c>
      <c r="D2002" s="35" t="s">
        <v>232</v>
      </c>
      <c r="E2002" s="35">
        <v>30</v>
      </c>
      <c r="F2002" s="35" t="s">
        <v>85</v>
      </c>
      <c r="G2002" s="35">
        <v>8.01</v>
      </c>
    </row>
    <row r="2003" spans="1:7" x14ac:dyDescent="0.2">
      <c r="A2003" s="35" t="s">
        <v>75</v>
      </c>
      <c r="B2003" s="35" t="s">
        <v>75</v>
      </c>
      <c r="C2003" s="35" t="s">
        <v>223</v>
      </c>
      <c r="D2003" s="35" t="s">
        <v>236</v>
      </c>
      <c r="E2003" s="35">
        <v>30</v>
      </c>
      <c r="F2003" s="35" t="s">
        <v>85</v>
      </c>
      <c r="G2003" s="35">
        <v>7.99</v>
      </c>
    </row>
    <row r="2004" spans="1:7" x14ac:dyDescent="0.2">
      <c r="A2004" s="35" t="s">
        <v>75</v>
      </c>
      <c r="B2004" s="35" t="s">
        <v>221</v>
      </c>
      <c r="C2004" s="35" t="s">
        <v>65</v>
      </c>
      <c r="D2004" s="35" t="s">
        <v>222</v>
      </c>
      <c r="E2004" s="35">
        <v>30</v>
      </c>
      <c r="F2004" s="35" t="s">
        <v>85</v>
      </c>
      <c r="G2004" s="35">
        <v>7.96</v>
      </c>
    </row>
    <row r="2005" spans="1:7" x14ac:dyDescent="0.2">
      <c r="A2005" s="35" t="s">
        <v>75</v>
      </c>
      <c r="B2005" s="35" t="s">
        <v>221</v>
      </c>
      <c r="C2005" s="35" t="s">
        <v>223</v>
      </c>
      <c r="D2005" s="35" t="s">
        <v>224</v>
      </c>
      <c r="E2005" s="35">
        <v>30</v>
      </c>
      <c r="F2005" s="35" t="s">
        <v>85</v>
      </c>
      <c r="G2005" s="35">
        <v>7.97</v>
      </c>
    </row>
    <row r="2006" spans="1:7" x14ac:dyDescent="0.2">
      <c r="A2006" s="35" t="s">
        <v>52</v>
      </c>
      <c r="B2006" s="35" t="s">
        <v>52</v>
      </c>
      <c r="C2006" s="35" t="s">
        <v>65</v>
      </c>
      <c r="D2006" s="35" t="s">
        <v>237</v>
      </c>
      <c r="E2006" s="35">
        <v>30</v>
      </c>
      <c r="F2006" s="35" t="s">
        <v>85</v>
      </c>
      <c r="G2006" s="35">
        <v>7.86</v>
      </c>
    </row>
    <row r="2007" spans="1:7" x14ac:dyDescent="0.2">
      <c r="A2007" s="35" t="s">
        <v>52</v>
      </c>
      <c r="B2007" s="35" t="s">
        <v>52</v>
      </c>
      <c r="C2007" s="35" t="s">
        <v>65</v>
      </c>
      <c r="D2007" s="35" t="s">
        <v>238</v>
      </c>
      <c r="E2007" s="35">
        <v>30</v>
      </c>
      <c r="F2007" s="35" t="s">
        <v>85</v>
      </c>
      <c r="G2007" s="35">
        <v>7.94</v>
      </c>
    </row>
    <row r="2008" spans="1:7" x14ac:dyDescent="0.2">
      <c r="A2008" s="35" t="s">
        <v>52</v>
      </c>
      <c r="B2008" s="35" t="s">
        <v>52</v>
      </c>
      <c r="C2008" s="35" t="s">
        <v>65</v>
      </c>
      <c r="D2008" s="35" t="s">
        <v>239</v>
      </c>
      <c r="E2008" s="35">
        <v>30</v>
      </c>
      <c r="F2008" s="35" t="s">
        <v>85</v>
      </c>
      <c r="G2008" s="35">
        <v>7.94</v>
      </c>
    </row>
    <row r="2009" spans="1:7" x14ac:dyDescent="0.2">
      <c r="A2009" s="35" t="s">
        <v>52</v>
      </c>
      <c r="B2009" s="35" t="s">
        <v>52</v>
      </c>
      <c r="C2009" s="35" t="s">
        <v>65</v>
      </c>
      <c r="D2009" s="35" t="s">
        <v>240</v>
      </c>
      <c r="E2009" s="35">
        <v>30</v>
      </c>
      <c r="F2009" s="35" t="s">
        <v>85</v>
      </c>
      <c r="G2009" s="35">
        <v>7.98</v>
      </c>
    </row>
    <row r="2010" spans="1:7" x14ac:dyDescent="0.2">
      <c r="A2010" s="35" t="s">
        <v>52</v>
      </c>
      <c r="B2010" s="35" t="s">
        <v>52</v>
      </c>
      <c r="C2010" s="35" t="s">
        <v>65</v>
      </c>
      <c r="D2010" s="35" t="s">
        <v>245</v>
      </c>
      <c r="E2010" s="35">
        <v>30</v>
      </c>
      <c r="F2010" s="35" t="s">
        <v>85</v>
      </c>
      <c r="G2010" s="35">
        <v>7.9</v>
      </c>
    </row>
    <row r="2011" spans="1:7" x14ac:dyDescent="0.2">
      <c r="A2011" s="35" t="s">
        <v>52</v>
      </c>
      <c r="B2011" s="35" t="s">
        <v>52</v>
      </c>
      <c r="C2011" s="35" t="s">
        <v>223</v>
      </c>
      <c r="D2011" s="35" t="s">
        <v>241</v>
      </c>
      <c r="E2011" s="35">
        <v>30</v>
      </c>
      <c r="F2011" s="35" t="s">
        <v>85</v>
      </c>
      <c r="G2011" s="35">
        <v>7.95</v>
      </c>
    </row>
    <row r="2012" spans="1:7" x14ac:dyDescent="0.2">
      <c r="A2012" s="35" t="s">
        <v>52</v>
      </c>
      <c r="B2012" s="35" t="s">
        <v>52</v>
      </c>
      <c r="C2012" s="35" t="s">
        <v>223</v>
      </c>
      <c r="D2012" s="35" t="s">
        <v>246</v>
      </c>
      <c r="E2012" s="35">
        <v>30</v>
      </c>
      <c r="F2012" s="35" t="s">
        <v>85</v>
      </c>
      <c r="G2012" s="35">
        <v>7.98</v>
      </c>
    </row>
    <row r="2013" spans="1:7" x14ac:dyDescent="0.2">
      <c r="A2013" s="35" t="s">
        <v>52</v>
      </c>
      <c r="B2013" s="35" t="s">
        <v>52</v>
      </c>
      <c r="C2013" s="35" t="s">
        <v>223</v>
      </c>
      <c r="D2013" s="35" t="s">
        <v>242</v>
      </c>
      <c r="E2013" s="35">
        <v>30</v>
      </c>
      <c r="F2013" s="35" t="s">
        <v>85</v>
      </c>
      <c r="G2013" s="35">
        <v>8</v>
      </c>
    </row>
    <row r="2014" spans="1:7" x14ac:dyDescent="0.2">
      <c r="A2014" s="35" t="s">
        <v>52</v>
      </c>
      <c r="B2014" s="35" t="s">
        <v>52</v>
      </c>
      <c r="C2014" s="35" t="s">
        <v>223</v>
      </c>
      <c r="D2014" s="35" t="s">
        <v>243</v>
      </c>
      <c r="E2014" s="35">
        <v>30</v>
      </c>
      <c r="F2014" s="35" t="s">
        <v>85</v>
      </c>
      <c r="G2014" s="35">
        <v>7.91</v>
      </c>
    </row>
    <row r="2015" spans="1:7" x14ac:dyDescent="0.2">
      <c r="A2015" s="35" t="s">
        <v>52</v>
      </c>
      <c r="B2015" s="35" t="s">
        <v>52</v>
      </c>
      <c r="C2015" s="35" t="s">
        <v>223</v>
      </c>
      <c r="D2015" s="35" t="s">
        <v>244</v>
      </c>
      <c r="E2015" s="35">
        <v>30</v>
      </c>
      <c r="F2015" s="35" t="s">
        <v>85</v>
      </c>
      <c r="G2015" s="35">
        <v>7.99</v>
      </c>
    </row>
    <row r="2016" spans="1:7" x14ac:dyDescent="0.2">
      <c r="A2016" s="35" t="s">
        <v>52</v>
      </c>
      <c r="B2016" s="35" t="s">
        <v>221</v>
      </c>
      <c r="C2016" s="35" t="s">
        <v>65</v>
      </c>
      <c r="D2016" s="35" t="s">
        <v>225</v>
      </c>
      <c r="E2016" s="35">
        <v>30</v>
      </c>
      <c r="F2016" s="35" t="s">
        <v>85</v>
      </c>
      <c r="G2016" s="35">
        <v>7.99</v>
      </c>
    </row>
    <row r="2017" spans="1:7" x14ac:dyDescent="0.2">
      <c r="A2017" s="35" t="s">
        <v>52</v>
      </c>
      <c r="B2017" s="35" t="s">
        <v>221</v>
      </c>
      <c r="C2017" s="35" t="s">
        <v>223</v>
      </c>
      <c r="D2017" s="35" t="s">
        <v>226</v>
      </c>
      <c r="E2017" s="35">
        <v>30</v>
      </c>
      <c r="F2017" s="35" t="s">
        <v>85</v>
      </c>
      <c r="G2017" s="35">
        <v>8.0500000000000007</v>
      </c>
    </row>
    <row r="2018" spans="1:7" x14ac:dyDescent="0.2">
      <c r="A2018" s="35" t="s">
        <v>75</v>
      </c>
      <c r="B2018" s="35" t="s">
        <v>75</v>
      </c>
      <c r="C2018" s="35" t="s">
        <v>65</v>
      </c>
      <c r="D2018" s="35" t="s">
        <v>233</v>
      </c>
      <c r="E2018" s="35">
        <v>31</v>
      </c>
      <c r="F2018" s="35" t="s">
        <v>85</v>
      </c>
      <c r="G2018" s="35">
        <v>7.81</v>
      </c>
    </row>
    <row r="2019" spans="1:7" x14ac:dyDescent="0.2">
      <c r="A2019" s="35" t="s">
        <v>75</v>
      </c>
      <c r="B2019" s="35" t="s">
        <v>75</v>
      </c>
      <c r="C2019" s="35" t="s">
        <v>65</v>
      </c>
      <c r="D2019" s="35" t="s">
        <v>227</v>
      </c>
      <c r="E2019" s="35">
        <v>31</v>
      </c>
      <c r="F2019" s="35" t="s">
        <v>85</v>
      </c>
      <c r="G2019" s="35">
        <v>7.81</v>
      </c>
    </row>
    <row r="2020" spans="1:7" x14ac:dyDescent="0.2">
      <c r="A2020" s="35" t="s">
        <v>75</v>
      </c>
      <c r="B2020" s="35" t="s">
        <v>75</v>
      </c>
      <c r="C2020" s="35" t="s">
        <v>65</v>
      </c>
      <c r="D2020" s="35" t="s">
        <v>228</v>
      </c>
      <c r="E2020" s="35">
        <v>31</v>
      </c>
      <c r="F2020" s="35" t="s">
        <v>85</v>
      </c>
      <c r="G2020" s="35">
        <v>7.81</v>
      </c>
    </row>
    <row r="2021" spans="1:7" x14ac:dyDescent="0.2">
      <c r="A2021" s="35" t="s">
        <v>75</v>
      </c>
      <c r="B2021" s="35" t="s">
        <v>75</v>
      </c>
      <c r="C2021" s="35" t="s">
        <v>65</v>
      </c>
      <c r="D2021" s="35" t="s">
        <v>229</v>
      </c>
      <c r="E2021" s="35">
        <v>31</v>
      </c>
      <c r="F2021" s="35" t="s">
        <v>85</v>
      </c>
      <c r="G2021" s="35">
        <v>7.81</v>
      </c>
    </row>
    <row r="2022" spans="1:7" x14ac:dyDescent="0.2">
      <c r="A2022" s="35" t="s">
        <v>75</v>
      </c>
      <c r="B2022" s="35" t="s">
        <v>75</v>
      </c>
      <c r="C2022" s="35" t="s">
        <v>65</v>
      </c>
      <c r="D2022" s="35" t="s">
        <v>234</v>
      </c>
      <c r="E2022" s="35">
        <v>31</v>
      </c>
      <c r="F2022" s="35" t="s">
        <v>85</v>
      </c>
      <c r="G2022" s="35">
        <v>7.8</v>
      </c>
    </row>
    <row r="2023" spans="1:7" x14ac:dyDescent="0.2">
      <c r="A2023" s="35" t="s">
        <v>75</v>
      </c>
      <c r="B2023" s="35" t="s">
        <v>75</v>
      </c>
      <c r="C2023" s="35" t="s">
        <v>223</v>
      </c>
      <c r="D2023" s="35" t="s">
        <v>230</v>
      </c>
      <c r="E2023" s="35">
        <v>31</v>
      </c>
      <c r="F2023" s="35" t="s">
        <v>85</v>
      </c>
      <c r="G2023" s="35">
        <v>7.79</v>
      </c>
    </row>
    <row r="2024" spans="1:7" x14ac:dyDescent="0.2">
      <c r="A2024" s="35" t="s">
        <v>75</v>
      </c>
      <c r="B2024" s="35" t="s">
        <v>75</v>
      </c>
      <c r="C2024" s="35" t="s">
        <v>223</v>
      </c>
      <c r="D2024" s="35" t="s">
        <v>231</v>
      </c>
      <c r="E2024" s="35">
        <v>31</v>
      </c>
      <c r="F2024" s="35" t="s">
        <v>85</v>
      </c>
      <c r="G2024" s="35">
        <v>7.78</v>
      </c>
    </row>
    <row r="2025" spans="1:7" x14ac:dyDescent="0.2">
      <c r="A2025" s="35" t="s">
        <v>75</v>
      </c>
      <c r="B2025" s="35" t="s">
        <v>75</v>
      </c>
      <c r="C2025" s="35" t="s">
        <v>223</v>
      </c>
      <c r="D2025" s="35" t="s">
        <v>235</v>
      </c>
      <c r="E2025" s="35">
        <v>31</v>
      </c>
      <c r="F2025" s="35" t="s">
        <v>85</v>
      </c>
      <c r="G2025" s="35">
        <v>7.8</v>
      </c>
    </row>
    <row r="2026" spans="1:7" x14ac:dyDescent="0.2">
      <c r="A2026" s="35" t="s">
        <v>75</v>
      </c>
      <c r="B2026" s="35" t="s">
        <v>75</v>
      </c>
      <c r="C2026" s="35" t="s">
        <v>223</v>
      </c>
      <c r="D2026" s="35" t="s">
        <v>232</v>
      </c>
      <c r="E2026" s="35">
        <v>31</v>
      </c>
      <c r="F2026" s="35" t="s">
        <v>85</v>
      </c>
      <c r="G2026" s="35">
        <v>7.79</v>
      </c>
    </row>
    <row r="2027" spans="1:7" x14ac:dyDescent="0.2">
      <c r="A2027" s="35" t="s">
        <v>75</v>
      </c>
      <c r="B2027" s="35" t="s">
        <v>75</v>
      </c>
      <c r="C2027" s="35" t="s">
        <v>223</v>
      </c>
      <c r="D2027" s="35" t="s">
        <v>236</v>
      </c>
      <c r="E2027" s="35">
        <v>31</v>
      </c>
      <c r="F2027" s="35" t="s">
        <v>85</v>
      </c>
      <c r="G2027" s="35">
        <v>7.79</v>
      </c>
    </row>
    <row r="2028" spans="1:7" x14ac:dyDescent="0.2">
      <c r="A2028" s="35" t="s">
        <v>75</v>
      </c>
      <c r="B2028" s="35" t="s">
        <v>221</v>
      </c>
      <c r="C2028" s="35" t="s">
        <v>65</v>
      </c>
      <c r="D2028" s="35" t="s">
        <v>222</v>
      </c>
      <c r="E2028" s="35">
        <v>31</v>
      </c>
      <c r="F2028" s="35" t="s">
        <v>85</v>
      </c>
      <c r="G2028" s="35">
        <v>7.79</v>
      </c>
    </row>
    <row r="2029" spans="1:7" x14ac:dyDescent="0.2">
      <c r="A2029" s="35" t="s">
        <v>75</v>
      </c>
      <c r="B2029" s="35" t="s">
        <v>221</v>
      </c>
      <c r="C2029" s="35" t="s">
        <v>223</v>
      </c>
      <c r="D2029" s="35" t="s">
        <v>224</v>
      </c>
      <c r="E2029" s="35">
        <v>31</v>
      </c>
      <c r="F2029" s="35" t="s">
        <v>85</v>
      </c>
      <c r="G2029" s="35">
        <v>7.78</v>
      </c>
    </row>
    <row r="2030" spans="1:7" x14ac:dyDescent="0.2">
      <c r="A2030" s="35" t="s">
        <v>52</v>
      </c>
      <c r="B2030" s="35" t="s">
        <v>52</v>
      </c>
      <c r="C2030" s="35" t="s">
        <v>65</v>
      </c>
      <c r="D2030" s="35" t="s">
        <v>237</v>
      </c>
      <c r="E2030" s="35">
        <v>31</v>
      </c>
      <c r="F2030" s="35" t="s">
        <v>85</v>
      </c>
      <c r="G2030" s="35">
        <v>7.89</v>
      </c>
    </row>
    <row r="2031" spans="1:7" x14ac:dyDescent="0.2">
      <c r="A2031" s="35" t="s">
        <v>52</v>
      </c>
      <c r="B2031" s="35" t="s">
        <v>52</v>
      </c>
      <c r="C2031" s="35" t="s">
        <v>65</v>
      </c>
      <c r="D2031" s="35" t="s">
        <v>238</v>
      </c>
      <c r="E2031" s="35">
        <v>31</v>
      </c>
      <c r="F2031" s="35" t="s">
        <v>85</v>
      </c>
      <c r="G2031" s="35">
        <v>7.92</v>
      </c>
    </row>
    <row r="2032" spans="1:7" x14ac:dyDescent="0.2">
      <c r="A2032" s="35" t="s">
        <v>52</v>
      </c>
      <c r="B2032" s="35" t="s">
        <v>52</v>
      </c>
      <c r="C2032" s="35" t="s">
        <v>65</v>
      </c>
      <c r="D2032" s="35" t="s">
        <v>239</v>
      </c>
      <c r="E2032" s="35">
        <v>31</v>
      </c>
      <c r="F2032" s="35" t="s">
        <v>85</v>
      </c>
      <c r="G2032" s="35">
        <v>7.95</v>
      </c>
    </row>
    <row r="2033" spans="1:7" x14ac:dyDescent="0.2">
      <c r="A2033" s="35" t="s">
        <v>52</v>
      </c>
      <c r="B2033" s="35" t="s">
        <v>52</v>
      </c>
      <c r="C2033" s="35" t="s">
        <v>65</v>
      </c>
      <c r="D2033" s="35" t="s">
        <v>240</v>
      </c>
      <c r="E2033" s="35">
        <v>31</v>
      </c>
      <c r="F2033" s="35" t="s">
        <v>85</v>
      </c>
      <c r="G2033" s="35">
        <v>7.96</v>
      </c>
    </row>
    <row r="2034" spans="1:7" x14ac:dyDescent="0.2">
      <c r="A2034" s="35" t="s">
        <v>52</v>
      </c>
      <c r="B2034" s="35" t="s">
        <v>52</v>
      </c>
      <c r="C2034" s="35" t="s">
        <v>65</v>
      </c>
      <c r="D2034" s="35" t="s">
        <v>245</v>
      </c>
      <c r="E2034" s="35">
        <v>31</v>
      </c>
      <c r="F2034" s="35" t="s">
        <v>85</v>
      </c>
      <c r="G2034" s="35">
        <v>7.96</v>
      </c>
    </row>
    <row r="2035" spans="1:7" x14ac:dyDescent="0.2">
      <c r="A2035" s="35" t="s">
        <v>52</v>
      </c>
      <c r="B2035" s="35" t="s">
        <v>52</v>
      </c>
      <c r="C2035" s="35" t="s">
        <v>223</v>
      </c>
      <c r="D2035" s="35" t="s">
        <v>241</v>
      </c>
      <c r="E2035" s="35">
        <v>31</v>
      </c>
      <c r="F2035" s="35" t="s">
        <v>85</v>
      </c>
      <c r="G2035" s="35">
        <v>7.83</v>
      </c>
    </row>
    <row r="2036" spans="1:7" x14ac:dyDescent="0.2">
      <c r="A2036" s="35" t="s">
        <v>52</v>
      </c>
      <c r="B2036" s="35" t="s">
        <v>52</v>
      </c>
      <c r="C2036" s="35" t="s">
        <v>223</v>
      </c>
      <c r="D2036" s="35" t="s">
        <v>246</v>
      </c>
      <c r="E2036" s="35">
        <v>31</v>
      </c>
      <c r="F2036" s="35" t="s">
        <v>85</v>
      </c>
      <c r="G2036" s="35">
        <v>7.93</v>
      </c>
    </row>
    <row r="2037" spans="1:7" x14ac:dyDescent="0.2">
      <c r="A2037" s="35" t="s">
        <v>52</v>
      </c>
      <c r="B2037" s="35" t="s">
        <v>52</v>
      </c>
      <c r="C2037" s="35" t="s">
        <v>223</v>
      </c>
      <c r="D2037" s="35" t="s">
        <v>242</v>
      </c>
      <c r="E2037" s="35">
        <v>31</v>
      </c>
      <c r="F2037" s="35" t="s">
        <v>85</v>
      </c>
      <c r="G2037" s="35">
        <v>7.93</v>
      </c>
    </row>
    <row r="2038" spans="1:7" x14ac:dyDescent="0.2">
      <c r="A2038" s="35" t="s">
        <v>52</v>
      </c>
      <c r="B2038" s="35" t="s">
        <v>52</v>
      </c>
      <c r="C2038" s="35" t="s">
        <v>223</v>
      </c>
      <c r="D2038" s="35" t="s">
        <v>243</v>
      </c>
      <c r="E2038" s="35">
        <v>31</v>
      </c>
      <c r="F2038" s="35" t="s">
        <v>85</v>
      </c>
      <c r="G2038" s="35">
        <v>7.94</v>
      </c>
    </row>
    <row r="2039" spans="1:7" x14ac:dyDescent="0.2">
      <c r="A2039" s="35" t="s">
        <v>52</v>
      </c>
      <c r="B2039" s="35" t="s">
        <v>52</v>
      </c>
      <c r="C2039" s="35" t="s">
        <v>223</v>
      </c>
      <c r="D2039" s="35" t="s">
        <v>244</v>
      </c>
      <c r="E2039" s="35">
        <v>31</v>
      </c>
      <c r="F2039" s="35" t="s">
        <v>85</v>
      </c>
      <c r="G2039" s="35">
        <v>7.94</v>
      </c>
    </row>
    <row r="2040" spans="1:7" x14ac:dyDescent="0.2">
      <c r="A2040" s="35" t="s">
        <v>52</v>
      </c>
      <c r="B2040" s="35" t="s">
        <v>221</v>
      </c>
      <c r="C2040" s="35" t="s">
        <v>65</v>
      </c>
      <c r="D2040" s="35" t="s">
        <v>225</v>
      </c>
      <c r="E2040" s="35">
        <v>31</v>
      </c>
      <c r="F2040" s="35" t="s">
        <v>85</v>
      </c>
      <c r="G2040" s="35">
        <v>7.96</v>
      </c>
    </row>
    <row r="2041" spans="1:7" x14ac:dyDescent="0.2">
      <c r="A2041" s="35" t="s">
        <v>52</v>
      </c>
      <c r="B2041" s="35" t="s">
        <v>221</v>
      </c>
      <c r="C2041" s="35" t="s">
        <v>223</v>
      </c>
      <c r="D2041" s="35" t="s">
        <v>226</v>
      </c>
      <c r="E2041" s="35">
        <v>31</v>
      </c>
      <c r="F2041" s="35" t="s">
        <v>85</v>
      </c>
      <c r="G2041" s="35">
        <v>7.93</v>
      </c>
    </row>
    <row r="2042" spans="1:7" x14ac:dyDescent="0.2">
      <c r="A2042" s="35" t="s">
        <v>75</v>
      </c>
      <c r="B2042" s="35" t="s">
        <v>75</v>
      </c>
      <c r="C2042" s="35" t="s">
        <v>65</v>
      </c>
      <c r="D2042" s="35" t="s">
        <v>233</v>
      </c>
      <c r="E2042" s="35">
        <v>32</v>
      </c>
      <c r="F2042" s="35" t="s">
        <v>85</v>
      </c>
      <c r="G2042" s="35">
        <v>7.98</v>
      </c>
    </row>
    <row r="2043" spans="1:7" x14ac:dyDescent="0.2">
      <c r="A2043" s="35" t="s">
        <v>75</v>
      </c>
      <c r="B2043" s="35" t="s">
        <v>75</v>
      </c>
      <c r="C2043" s="35" t="s">
        <v>65</v>
      </c>
      <c r="D2043" s="35" t="s">
        <v>227</v>
      </c>
      <c r="E2043" s="35">
        <v>32</v>
      </c>
      <c r="F2043" s="35" t="s">
        <v>85</v>
      </c>
      <c r="G2043" s="35">
        <v>7.99</v>
      </c>
    </row>
    <row r="2044" spans="1:7" x14ac:dyDescent="0.2">
      <c r="A2044" s="35" t="s">
        <v>75</v>
      </c>
      <c r="B2044" s="35" t="s">
        <v>75</v>
      </c>
      <c r="C2044" s="35" t="s">
        <v>65</v>
      </c>
      <c r="D2044" s="35" t="s">
        <v>228</v>
      </c>
      <c r="E2044" s="35">
        <v>32</v>
      </c>
      <c r="F2044" s="35" t="s">
        <v>85</v>
      </c>
      <c r="G2044" s="35">
        <v>8</v>
      </c>
    </row>
    <row r="2045" spans="1:7" x14ac:dyDescent="0.2">
      <c r="A2045" s="35" t="s">
        <v>75</v>
      </c>
      <c r="B2045" s="35" t="s">
        <v>75</v>
      </c>
      <c r="C2045" s="35" t="s">
        <v>65</v>
      </c>
      <c r="D2045" s="35" t="s">
        <v>229</v>
      </c>
      <c r="E2045" s="35">
        <v>32</v>
      </c>
      <c r="F2045" s="35" t="s">
        <v>85</v>
      </c>
      <c r="G2045" s="35">
        <v>8.01</v>
      </c>
    </row>
    <row r="2046" spans="1:7" x14ac:dyDescent="0.2">
      <c r="A2046" s="35" t="s">
        <v>75</v>
      </c>
      <c r="B2046" s="35" t="s">
        <v>75</v>
      </c>
      <c r="C2046" s="35" t="s">
        <v>65</v>
      </c>
      <c r="D2046" s="35" t="s">
        <v>234</v>
      </c>
      <c r="E2046" s="35">
        <v>32</v>
      </c>
      <c r="F2046" s="35" t="s">
        <v>85</v>
      </c>
      <c r="G2046" s="35">
        <v>8.02</v>
      </c>
    </row>
    <row r="2047" spans="1:7" x14ac:dyDescent="0.2">
      <c r="A2047" s="35" t="s">
        <v>75</v>
      </c>
      <c r="B2047" s="35" t="s">
        <v>75</v>
      </c>
      <c r="C2047" s="35" t="s">
        <v>223</v>
      </c>
      <c r="D2047" s="35" t="s">
        <v>230</v>
      </c>
      <c r="E2047" s="35">
        <v>32</v>
      </c>
      <c r="F2047" s="35" t="s">
        <v>85</v>
      </c>
      <c r="G2047" s="35">
        <v>7.96</v>
      </c>
    </row>
    <row r="2048" spans="1:7" x14ac:dyDescent="0.2">
      <c r="A2048" s="35" t="s">
        <v>75</v>
      </c>
      <c r="B2048" s="35" t="s">
        <v>75</v>
      </c>
      <c r="C2048" s="35" t="s">
        <v>223</v>
      </c>
      <c r="D2048" s="35" t="s">
        <v>231</v>
      </c>
      <c r="E2048" s="35">
        <v>32</v>
      </c>
      <c r="F2048" s="35" t="s">
        <v>85</v>
      </c>
      <c r="G2048" s="35">
        <v>7.98</v>
      </c>
    </row>
    <row r="2049" spans="1:7" x14ac:dyDescent="0.2">
      <c r="A2049" s="35" t="s">
        <v>75</v>
      </c>
      <c r="B2049" s="35" t="s">
        <v>75</v>
      </c>
      <c r="C2049" s="35" t="s">
        <v>223</v>
      </c>
      <c r="D2049" s="35" t="s">
        <v>235</v>
      </c>
      <c r="E2049" s="35">
        <v>32</v>
      </c>
      <c r="F2049" s="35" t="s">
        <v>85</v>
      </c>
      <c r="G2049" s="35">
        <v>8.01</v>
      </c>
    </row>
    <row r="2050" spans="1:7" x14ac:dyDescent="0.2">
      <c r="A2050" s="35" t="s">
        <v>75</v>
      </c>
      <c r="B2050" s="35" t="s">
        <v>75</v>
      </c>
      <c r="C2050" s="35" t="s">
        <v>223</v>
      </c>
      <c r="D2050" s="35" t="s">
        <v>232</v>
      </c>
      <c r="E2050" s="35">
        <v>32</v>
      </c>
      <c r="F2050" s="35" t="s">
        <v>85</v>
      </c>
      <c r="G2050" s="35">
        <v>8.02</v>
      </c>
    </row>
    <row r="2051" spans="1:7" x14ac:dyDescent="0.2">
      <c r="A2051" s="35" t="s">
        <v>75</v>
      </c>
      <c r="B2051" s="35" t="s">
        <v>75</v>
      </c>
      <c r="C2051" s="35" t="s">
        <v>223</v>
      </c>
      <c r="D2051" s="35" t="s">
        <v>236</v>
      </c>
      <c r="E2051" s="35">
        <v>32</v>
      </c>
      <c r="F2051" s="35" t="s">
        <v>85</v>
      </c>
      <c r="G2051" s="35">
        <v>8.01</v>
      </c>
    </row>
    <row r="2052" spans="1:7" x14ac:dyDescent="0.2">
      <c r="A2052" s="35" t="s">
        <v>75</v>
      </c>
      <c r="B2052" s="35" t="s">
        <v>221</v>
      </c>
      <c r="C2052" s="35" t="s">
        <v>65</v>
      </c>
      <c r="D2052" s="35" t="s">
        <v>222</v>
      </c>
      <c r="E2052" s="35">
        <v>32</v>
      </c>
      <c r="F2052" s="35" t="s">
        <v>85</v>
      </c>
      <c r="G2052" s="35">
        <v>8.01</v>
      </c>
    </row>
    <row r="2053" spans="1:7" x14ac:dyDescent="0.2">
      <c r="A2053" s="35" t="s">
        <v>75</v>
      </c>
      <c r="B2053" s="35" t="s">
        <v>221</v>
      </c>
      <c r="C2053" s="35" t="s">
        <v>223</v>
      </c>
      <c r="D2053" s="35" t="s">
        <v>224</v>
      </c>
      <c r="E2053" s="35">
        <v>32</v>
      </c>
      <c r="F2053" s="35" t="s">
        <v>85</v>
      </c>
      <c r="G2053" s="35">
        <v>8.01</v>
      </c>
    </row>
    <row r="2054" spans="1:7" x14ac:dyDescent="0.2">
      <c r="A2054" s="35" t="s">
        <v>52</v>
      </c>
      <c r="B2054" s="35" t="s">
        <v>52</v>
      </c>
      <c r="C2054" s="35" t="s">
        <v>65</v>
      </c>
      <c r="D2054" s="35" t="s">
        <v>237</v>
      </c>
      <c r="E2054" s="35">
        <v>32</v>
      </c>
      <c r="F2054" s="35" t="s">
        <v>85</v>
      </c>
      <c r="G2054" s="35">
        <v>7.94</v>
      </c>
    </row>
    <row r="2055" spans="1:7" x14ac:dyDescent="0.2">
      <c r="A2055" s="35" t="s">
        <v>52</v>
      </c>
      <c r="B2055" s="35" t="s">
        <v>52</v>
      </c>
      <c r="C2055" s="35" t="s">
        <v>65</v>
      </c>
      <c r="D2055" s="35" t="s">
        <v>238</v>
      </c>
      <c r="E2055" s="35">
        <v>32</v>
      </c>
      <c r="F2055" s="35" t="s">
        <v>85</v>
      </c>
      <c r="G2055" s="35">
        <v>7.97</v>
      </c>
    </row>
    <row r="2056" spans="1:7" x14ac:dyDescent="0.2">
      <c r="A2056" s="35" t="s">
        <v>52</v>
      </c>
      <c r="B2056" s="35" t="s">
        <v>52</v>
      </c>
      <c r="C2056" s="35" t="s">
        <v>65</v>
      </c>
      <c r="D2056" s="35" t="s">
        <v>239</v>
      </c>
      <c r="E2056" s="35">
        <v>32</v>
      </c>
      <c r="F2056" s="35" t="s">
        <v>85</v>
      </c>
      <c r="G2056" s="35">
        <v>7.99</v>
      </c>
    </row>
    <row r="2057" spans="1:7" x14ac:dyDescent="0.2">
      <c r="A2057" s="35" t="s">
        <v>52</v>
      </c>
      <c r="B2057" s="35" t="s">
        <v>52</v>
      </c>
      <c r="C2057" s="35" t="s">
        <v>65</v>
      </c>
      <c r="D2057" s="35" t="s">
        <v>240</v>
      </c>
      <c r="E2057" s="35">
        <v>32</v>
      </c>
      <c r="F2057" s="35" t="s">
        <v>85</v>
      </c>
      <c r="G2057" s="35">
        <v>8</v>
      </c>
    </row>
    <row r="2058" spans="1:7" x14ac:dyDescent="0.2">
      <c r="A2058" s="35" t="s">
        <v>52</v>
      </c>
      <c r="B2058" s="35" t="s">
        <v>52</v>
      </c>
      <c r="C2058" s="35" t="s">
        <v>65</v>
      </c>
      <c r="D2058" s="35" t="s">
        <v>245</v>
      </c>
      <c r="E2058" s="35">
        <v>32</v>
      </c>
      <c r="F2058" s="35" t="s">
        <v>85</v>
      </c>
      <c r="G2058" s="35">
        <v>8</v>
      </c>
    </row>
    <row r="2059" spans="1:7" x14ac:dyDescent="0.2">
      <c r="A2059" s="35" t="s">
        <v>52</v>
      </c>
      <c r="B2059" s="35" t="s">
        <v>52</v>
      </c>
      <c r="C2059" s="35" t="s">
        <v>223</v>
      </c>
      <c r="D2059" s="35" t="s">
        <v>241</v>
      </c>
      <c r="E2059" s="35">
        <v>32</v>
      </c>
      <c r="F2059" s="35" t="s">
        <v>85</v>
      </c>
      <c r="G2059" s="35">
        <v>7.91</v>
      </c>
    </row>
    <row r="2060" spans="1:7" x14ac:dyDescent="0.2">
      <c r="A2060" s="35" t="s">
        <v>52</v>
      </c>
      <c r="B2060" s="35" t="s">
        <v>52</v>
      </c>
      <c r="C2060" s="35" t="s">
        <v>223</v>
      </c>
      <c r="D2060" s="35" t="s">
        <v>246</v>
      </c>
      <c r="E2060" s="35">
        <v>32</v>
      </c>
      <c r="F2060" s="35" t="s">
        <v>85</v>
      </c>
      <c r="G2060" s="35">
        <v>7.95</v>
      </c>
    </row>
    <row r="2061" spans="1:7" x14ac:dyDescent="0.2">
      <c r="A2061" s="35" t="s">
        <v>52</v>
      </c>
      <c r="B2061" s="35" t="s">
        <v>52</v>
      </c>
      <c r="C2061" s="35" t="s">
        <v>223</v>
      </c>
      <c r="D2061" s="35" t="s">
        <v>242</v>
      </c>
      <c r="E2061" s="35">
        <v>32</v>
      </c>
      <c r="F2061" s="35" t="s">
        <v>85</v>
      </c>
      <c r="G2061" s="35">
        <v>7.98</v>
      </c>
    </row>
    <row r="2062" spans="1:7" x14ac:dyDescent="0.2">
      <c r="A2062" s="35" t="s">
        <v>52</v>
      </c>
      <c r="B2062" s="35" t="s">
        <v>52</v>
      </c>
      <c r="C2062" s="35" t="s">
        <v>223</v>
      </c>
      <c r="D2062" s="35" t="s">
        <v>243</v>
      </c>
      <c r="E2062" s="35">
        <v>32</v>
      </c>
      <c r="F2062" s="35" t="s">
        <v>85</v>
      </c>
      <c r="G2062" s="35">
        <v>7.98</v>
      </c>
    </row>
    <row r="2063" spans="1:7" x14ac:dyDescent="0.2">
      <c r="A2063" s="35" t="s">
        <v>52</v>
      </c>
      <c r="B2063" s="35" t="s">
        <v>52</v>
      </c>
      <c r="C2063" s="35" t="s">
        <v>223</v>
      </c>
      <c r="D2063" s="35" t="s">
        <v>244</v>
      </c>
      <c r="E2063" s="35">
        <v>32</v>
      </c>
      <c r="F2063" s="35" t="s">
        <v>85</v>
      </c>
      <c r="G2063" s="35">
        <v>8</v>
      </c>
    </row>
    <row r="2064" spans="1:7" x14ac:dyDescent="0.2">
      <c r="A2064" s="35" t="s">
        <v>52</v>
      </c>
      <c r="B2064" s="35" t="s">
        <v>221</v>
      </c>
      <c r="C2064" s="35" t="s">
        <v>65</v>
      </c>
      <c r="D2064" s="35" t="s">
        <v>225</v>
      </c>
      <c r="E2064" s="35">
        <v>32</v>
      </c>
      <c r="F2064" s="35" t="s">
        <v>85</v>
      </c>
      <c r="G2064" s="35">
        <v>8.01</v>
      </c>
    </row>
    <row r="2065" spans="1:7" x14ac:dyDescent="0.2">
      <c r="A2065" s="35" t="s">
        <v>52</v>
      </c>
      <c r="B2065" s="35" t="s">
        <v>221</v>
      </c>
      <c r="C2065" s="35" t="s">
        <v>223</v>
      </c>
      <c r="D2065" s="35" t="s">
        <v>226</v>
      </c>
      <c r="E2065" s="35">
        <v>32</v>
      </c>
      <c r="F2065" s="35" t="s">
        <v>85</v>
      </c>
      <c r="G2065" s="35">
        <v>8.02</v>
      </c>
    </row>
    <row r="2066" spans="1:7" x14ac:dyDescent="0.2">
      <c r="A2066" s="35" t="s">
        <v>75</v>
      </c>
      <c r="B2066" s="35" t="s">
        <v>75</v>
      </c>
      <c r="C2066" s="35" t="s">
        <v>65</v>
      </c>
      <c r="D2066" s="35" t="s">
        <v>233</v>
      </c>
      <c r="E2066" s="35">
        <v>33</v>
      </c>
      <c r="F2066" s="35" t="s">
        <v>85</v>
      </c>
      <c r="G2066" s="35">
        <v>8.01</v>
      </c>
    </row>
    <row r="2067" spans="1:7" x14ac:dyDescent="0.2">
      <c r="A2067" s="35" t="s">
        <v>75</v>
      </c>
      <c r="B2067" s="35" t="s">
        <v>75</v>
      </c>
      <c r="C2067" s="35" t="s">
        <v>65</v>
      </c>
      <c r="D2067" s="35" t="s">
        <v>227</v>
      </c>
      <c r="E2067" s="35">
        <v>33</v>
      </c>
      <c r="F2067" s="35" t="s">
        <v>85</v>
      </c>
      <c r="G2067" s="35">
        <v>7.99</v>
      </c>
    </row>
    <row r="2068" spans="1:7" x14ac:dyDescent="0.2">
      <c r="A2068" s="35" t="s">
        <v>75</v>
      </c>
      <c r="B2068" s="35" t="s">
        <v>75</v>
      </c>
      <c r="C2068" s="35" t="s">
        <v>65</v>
      </c>
      <c r="D2068" s="35" t="s">
        <v>228</v>
      </c>
      <c r="E2068" s="35">
        <v>33</v>
      </c>
      <c r="F2068" s="35" t="s">
        <v>85</v>
      </c>
      <c r="G2068" s="35">
        <v>8.0299999999999994</v>
      </c>
    </row>
    <row r="2069" spans="1:7" x14ac:dyDescent="0.2">
      <c r="A2069" s="35" t="s">
        <v>75</v>
      </c>
      <c r="B2069" s="35" t="s">
        <v>75</v>
      </c>
      <c r="C2069" s="35" t="s">
        <v>65</v>
      </c>
      <c r="D2069" s="35" t="s">
        <v>229</v>
      </c>
      <c r="E2069" s="35">
        <v>33</v>
      </c>
      <c r="F2069" s="35" t="s">
        <v>85</v>
      </c>
      <c r="G2069" s="35">
        <v>8.0399999999999991</v>
      </c>
    </row>
    <row r="2070" spans="1:7" x14ac:dyDescent="0.2">
      <c r="A2070" s="35" t="s">
        <v>75</v>
      </c>
      <c r="B2070" s="35" t="s">
        <v>75</v>
      </c>
      <c r="C2070" s="35" t="s">
        <v>65</v>
      </c>
      <c r="D2070" s="35" t="s">
        <v>234</v>
      </c>
      <c r="E2070" s="35">
        <v>33</v>
      </c>
      <c r="F2070" s="35" t="s">
        <v>85</v>
      </c>
      <c r="G2070" s="35">
        <v>8.06</v>
      </c>
    </row>
    <row r="2071" spans="1:7" x14ac:dyDescent="0.2">
      <c r="A2071" s="35" t="s">
        <v>75</v>
      </c>
      <c r="B2071" s="35" t="s">
        <v>75</v>
      </c>
      <c r="C2071" s="35" t="s">
        <v>223</v>
      </c>
      <c r="D2071" s="35" t="s">
        <v>230</v>
      </c>
      <c r="E2071" s="35">
        <v>33</v>
      </c>
      <c r="F2071" s="35" t="s">
        <v>85</v>
      </c>
      <c r="G2071" s="35">
        <v>8</v>
      </c>
    </row>
    <row r="2072" spans="1:7" x14ac:dyDescent="0.2">
      <c r="A2072" s="35" t="s">
        <v>75</v>
      </c>
      <c r="B2072" s="35" t="s">
        <v>75</v>
      </c>
      <c r="C2072" s="35" t="s">
        <v>223</v>
      </c>
      <c r="D2072" s="35" t="s">
        <v>231</v>
      </c>
      <c r="E2072" s="35">
        <v>33</v>
      </c>
      <c r="F2072" s="35" t="s">
        <v>85</v>
      </c>
      <c r="G2072" s="35">
        <v>8</v>
      </c>
    </row>
    <row r="2073" spans="1:7" x14ac:dyDescent="0.2">
      <c r="A2073" s="35" t="s">
        <v>75</v>
      </c>
      <c r="B2073" s="35" t="s">
        <v>75</v>
      </c>
      <c r="C2073" s="35" t="s">
        <v>223</v>
      </c>
      <c r="D2073" s="35" t="s">
        <v>235</v>
      </c>
      <c r="E2073" s="35">
        <v>33</v>
      </c>
      <c r="F2073" s="35" t="s">
        <v>85</v>
      </c>
      <c r="G2073" s="35">
        <v>8.06</v>
      </c>
    </row>
    <row r="2074" spans="1:7" x14ac:dyDescent="0.2">
      <c r="A2074" s="35" t="s">
        <v>75</v>
      </c>
      <c r="B2074" s="35" t="s">
        <v>75</v>
      </c>
      <c r="C2074" s="35" t="s">
        <v>223</v>
      </c>
      <c r="D2074" s="35" t="s">
        <v>232</v>
      </c>
      <c r="E2074" s="35">
        <v>33</v>
      </c>
      <c r="F2074" s="35" t="s">
        <v>85</v>
      </c>
      <c r="G2074" s="35">
        <v>8.06</v>
      </c>
    </row>
    <row r="2075" spans="1:7" x14ac:dyDescent="0.2">
      <c r="A2075" s="35" t="s">
        <v>75</v>
      </c>
      <c r="B2075" s="35" t="s">
        <v>75</v>
      </c>
      <c r="C2075" s="35" t="s">
        <v>223</v>
      </c>
      <c r="D2075" s="35" t="s">
        <v>236</v>
      </c>
      <c r="E2075" s="35">
        <v>33</v>
      </c>
      <c r="F2075" s="35" t="s">
        <v>85</v>
      </c>
      <c r="G2075" s="35">
        <v>8.0399999999999991</v>
      </c>
    </row>
    <row r="2076" spans="1:7" x14ac:dyDescent="0.2">
      <c r="A2076" s="35" t="s">
        <v>75</v>
      </c>
      <c r="B2076" s="35" t="s">
        <v>221</v>
      </c>
      <c r="C2076" s="35" t="s">
        <v>65</v>
      </c>
      <c r="D2076" s="35" t="s">
        <v>222</v>
      </c>
      <c r="E2076" s="35">
        <v>33</v>
      </c>
      <c r="F2076" s="35" t="s">
        <v>85</v>
      </c>
      <c r="G2076" s="35">
        <v>8.02</v>
      </c>
    </row>
    <row r="2077" spans="1:7" x14ac:dyDescent="0.2">
      <c r="A2077" s="35" t="s">
        <v>75</v>
      </c>
      <c r="B2077" s="35" t="s">
        <v>221</v>
      </c>
      <c r="C2077" s="35" t="s">
        <v>223</v>
      </c>
      <c r="D2077" s="35" t="s">
        <v>224</v>
      </c>
      <c r="E2077" s="35">
        <v>33</v>
      </c>
      <c r="F2077" s="35" t="s">
        <v>85</v>
      </c>
      <c r="G2077" s="35">
        <v>8.0399999999999991</v>
      </c>
    </row>
    <row r="2078" spans="1:7" x14ac:dyDescent="0.2">
      <c r="A2078" s="35" t="s">
        <v>52</v>
      </c>
      <c r="B2078" s="35" t="s">
        <v>52</v>
      </c>
      <c r="C2078" s="35" t="s">
        <v>65</v>
      </c>
      <c r="D2078" s="35" t="s">
        <v>237</v>
      </c>
      <c r="E2078" s="35">
        <v>33</v>
      </c>
      <c r="F2078" s="35" t="s">
        <v>85</v>
      </c>
      <c r="G2078" s="35">
        <v>7.93</v>
      </c>
    </row>
    <row r="2079" spans="1:7" x14ac:dyDescent="0.2">
      <c r="A2079" s="35" t="s">
        <v>52</v>
      </c>
      <c r="B2079" s="35" t="s">
        <v>52</v>
      </c>
      <c r="C2079" s="35" t="s">
        <v>65</v>
      </c>
      <c r="D2079" s="35" t="s">
        <v>238</v>
      </c>
      <c r="E2079" s="35">
        <v>33</v>
      </c>
      <c r="F2079" s="35" t="s">
        <v>85</v>
      </c>
      <c r="G2079" s="35">
        <v>8.01</v>
      </c>
    </row>
    <row r="2080" spans="1:7" x14ac:dyDescent="0.2">
      <c r="A2080" s="35" t="s">
        <v>52</v>
      </c>
      <c r="B2080" s="35" t="s">
        <v>52</v>
      </c>
      <c r="C2080" s="35" t="s">
        <v>65</v>
      </c>
      <c r="D2080" s="35" t="s">
        <v>239</v>
      </c>
      <c r="E2080" s="35">
        <v>33</v>
      </c>
      <c r="F2080" s="35" t="s">
        <v>85</v>
      </c>
      <c r="G2080" s="35">
        <v>8.0500000000000007</v>
      </c>
    </row>
    <row r="2081" spans="1:7" x14ac:dyDescent="0.2">
      <c r="A2081" s="35" t="s">
        <v>52</v>
      </c>
      <c r="B2081" s="35" t="s">
        <v>52</v>
      </c>
      <c r="C2081" s="35" t="s">
        <v>65</v>
      </c>
      <c r="D2081" s="35" t="s">
        <v>240</v>
      </c>
      <c r="E2081" s="35">
        <v>33</v>
      </c>
      <c r="F2081" s="35" t="s">
        <v>85</v>
      </c>
      <c r="G2081" s="35">
        <v>8.0500000000000007</v>
      </c>
    </row>
    <row r="2082" spans="1:7" x14ac:dyDescent="0.2">
      <c r="A2082" s="35" t="s">
        <v>52</v>
      </c>
      <c r="B2082" s="35" t="s">
        <v>52</v>
      </c>
      <c r="C2082" s="35" t="s">
        <v>65</v>
      </c>
      <c r="D2082" s="35" t="s">
        <v>245</v>
      </c>
      <c r="E2082" s="35">
        <v>33</v>
      </c>
      <c r="F2082" s="35" t="s">
        <v>85</v>
      </c>
      <c r="G2082" s="35">
        <v>8.0299999999999994</v>
      </c>
    </row>
    <row r="2083" spans="1:7" x14ac:dyDescent="0.2">
      <c r="A2083" s="35" t="s">
        <v>52</v>
      </c>
      <c r="B2083" s="35" t="s">
        <v>52</v>
      </c>
      <c r="C2083" s="35" t="s">
        <v>223</v>
      </c>
      <c r="D2083" s="35" t="s">
        <v>241</v>
      </c>
      <c r="E2083" s="35">
        <v>33</v>
      </c>
      <c r="F2083" s="35" t="s">
        <v>85</v>
      </c>
      <c r="G2083" s="35">
        <v>8.0399999999999991</v>
      </c>
    </row>
    <row r="2084" spans="1:7" x14ac:dyDescent="0.2">
      <c r="A2084" s="35" t="s">
        <v>52</v>
      </c>
      <c r="B2084" s="35" t="s">
        <v>52</v>
      </c>
      <c r="C2084" s="35" t="s">
        <v>223</v>
      </c>
      <c r="D2084" s="35" t="s">
        <v>246</v>
      </c>
      <c r="E2084" s="35">
        <v>33</v>
      </c>
      <c r="F2084" s="35" t="s">
        <v>85</v>
      </c>
      <c r="G2084" s="35">
        <v>7.95</v>
      </c>
    </row>
    <row r="2085" spans="1:7" x14ac:dyDescent="0.2">
      <c r="A2085" s="35" t="s">
        <v>52</v>
      </c>
      <c r="B2085" s="35" t="s">
        <v>52</v>
      </c>
      <c r="C2085" s="35" t="s">
        <v>223</v>
      </c>
      <c r="D2085" s="35" t="s">
        <v>242</v>
      </c>
      <c r="E2085" s="35">
        <v>33</v>
      </c>
      <c r="F2085" s="35" t="s">
        <v>85</v>
      </c>
      <c r="G2085" s="35">
        <v>8.02</v>
      </c>
    </row>
    <row r="2086" spans="1:7" x14ac:dyDescent="0.2">
      <c r="A2086" s="35" t="s">
        <v>52</v>
      </c>
      <c r="B2086" s="35" t="s">
        <v>52</v>
      </c>
      <c r="C2086" s="35" t="s">
        <v>223</v>
      </c>
      <c r="D2086" s="35" t="s">
        <v>243</v>
      </c>
      <c r="E2086" s="35">
        <v>33</v>
      </c>
      <c r="F2086" s="35" t="s">
        <v>85</v>
      </c>
      <c r="G2086" s="35">
        <v>8</v>
      </c>
    </row>
    <row r="2087" spans="1:7" x14ac:dyDescent="0.2">
      <c r="A2087" s="35" t="s">
        <v>52</v>
      </c>
      <c r="B2087" s="35" t="s">
        <v>52</v>
      </c>
      <c r="C2087" s="35" t="s">
        <v>223</v>
      </c>
      <c r="D2087" s="35" t="s">
        <v>244</v>
      </c>
      <c r="E2087" s="35">
        <v>33</v>
      </c>
      <c r="F2087" s="35" t="s">
        <v>85</v>
      </c>
      <c r="G2087" s="35">
        <v>8.02</v>
      </c>
    </row>
    <row r="2088" spans="1:7" x14ac:dyDescent="0.2">
      <c r="A2088" s="35" t="s">
        <v>52</v>
      </c>
      <c r="B2088" s="35" t="s">
        <v>221</v>
      </c>
      <c r="C2088" s="35" t="s">
        <v>65</v>
      </c>
      <c r="D2088" s="35" t="s">
        <v>225</v>
      </c>
      <c r="E2088" s="35">
        <v>33</v>
      </c>
      <c r="F2088" s="35" t="s">
        <v>85</v>
      </c>
      <c r="G2088" s="35">
        <v>8</v>
      </c>
    </row>
    <row r="2089" spans="1:7" x14ac:dyDescent="0.2">
      <c r="A2089" s="35" t="s">
        <v>52</v>
      </c>
      <c r="B2089" s="35" t="s">
        <v>221</v>
      </c>
      <c r="C2089" s="35" t="s">
        <v>223</v>
      </c>
      <c r="D2089" s="35" t="s">
        <v>226</v>
      </c>
      <c r="E2089" s="35">
        <v>33</v>
      </c>
      <c r="F2089" s="35" t="s">
        <v>85</v>
      </c>
      <c r="G2089" s="35">
        <v>8</v>
      </c>
    </row>
    <row r="2090" spans="1:7" x14ac:dyDescent="0.2">
      <c r="A2090" s="35" t="s">
        <v>75</v>
      </c>
      <c r="B2090" s="35" t="s">
        <v>75</v>
      </c>
      <c r="C2090" s="35" t="s">
        <v>65</v>
      </c>
      <c r="D2090" s="35" t="s">
        <v>233</v>
      </c>
      <c r="E2090" s="35">
        <v>36</v>
      </c>
      <c r="F2090" s="35" t="s">
        <v>85</v>
      </c>
      <c r="G2090" s="35">
        <v>8.1999999999999993</v>
      </c>
    </row>
    <row r="2091" spans="1:7" x14ac:dyDescent="0.2">
      <c r="A2091" s="35" t="s">
        <v>75</v>
      </c>
      <c r="B2091" s="35" t="s">
        <v>75</v>
      </c>
      <c r="C2091" s="35" t="s">
        <v>65</v>
      </c>
      <c r="D2091" s="35" t="s">
        <v>227</v>
      </c>
      <c r="E2091" s="35">
        <v>36</v>
      </c>
      <c r="F2091" s="35" t="s">
        <v>85</v>
      </c>
      <c r="G2091" s="35">
        <v>8.0299999999999994</v>
      </c>
    </row>
    <row r="2092" spans="1:7" x14ac:dyDescent="0.2">
      <c r="A2092" s="35" t="s">
        <v>75</v>
      </c>
      <c r="B2092" s="35" t="s">
        <v>75</v>
      </c>
      <c r="C2092" s="35" t="s">
        <v>65</v>
      </c>
      <c r="D2092" s="35" t="s">
        <v>228</v>
      </c>
      <c r="E2092" s="35">
        <v>36</v>
      </c>
      <c r="F2092" s="35" t="s">
        <v>85</v>
      </c>
      <c r="G2092" s="35">
        <v>8.0299999999999994</v>
      </c>
    </row>
    <row r="2093" spans="1:7" x14ac:dyDescent="0.2">
      <c r="A2093" s="35" t="s">
        <v>75</v>
      </c>
      <c r="B2093" s="35" t="s">
        <v>75</v>
      </c>
      <c r="C2093" s="35" t="s">
        <v>65</v>
      </c>
      <c r="D2093" s="35" t="s">
        <v>229</v>
      </c>
      <c r="E2093" s="35">
        <v>36</v>
      </c>
      <c r="F2093" s="35" t="s">
        <v>85</v>
      </c>
      <c r="G2093" s="35">
        <v>8</v>
      </c>
    </row>
    <row r="2094" spans="1:7" x14ac:dyDescent="0.2">
      <c r="A2094" s="35" t="s">
        <v>75</v>
      </c>
      <c r="B2094" s="35" t="s">
        <v>75</v>
      </c>
      <c r="C2094" s="35" t="s">
        <v>65</v>
      </c>
      <c r="D2094" s="35" t="s">
        <v>234</v>
      </c>
      <c r="E2094" s="35">
        <v>36</v>
      </c>
      <c r="F2094" s="35" t="s">
        <v>85</v>
      </c>
      <c r="G2094" s="35">
        <v>8.0399999999999991</v>
      </c>
    </row>
    <row r="2095" spans="1:7" x14ac:dyDescent="0.2">
      <c r="A2095" s="35" t="s">
        <v>75</v>
      </c>
      <c r="B2095" s="35" t="s">
        <v>75</v>
      </c>
      <c r="C2095" s="35" t="s">
        <v>223</v>
      </c>
      <c r="D2095" s="35" t="s">
        <v>230</v>
      </c>
      <c r="E2095" s="35">
        <v>36</v>
      </c>
      <c r="F2095" s="35" t="s">
        <v>85</v>
      </c>
      <c r="G2095" s="35">
        <v>8.0299999999999994</v>
      </c>
    </row>
    <row r="2096" spans="1:7" x14ac:dyDescent="0.2">
      <c r="A2096" s="35" t="s">
        <v>75</v>
      </c>
      <c r="B2096" s="35" t="s">
        <v>75</v>
      </c>
      <c r="C2096" s="35" t="s">
        <v>223</v>
      </c>
      <c r="D2096" s="35" t="s">
        <v>231</v>
      </c>
      <c r="E2096" s="35">
        <v>36</v>
      </c>
      <c r="F2096" s="35" t="s">
        <v>85</v>
      </c>
      <c r="G2096" s="35">
        <v>8.0299999999999994</v>
      </c>
    </row>
    <row r="2097" spans="1:7" x14ac:dyDescent="0.2">
      <c r="A2097" s="35" t="s">
        <v>75</v>
      </c>
      <c r="B2097" s="35" t="s">
        <v>75</v>
      </c>
      <c r="C2097" s="35" t="s">
        <v>223</v>
      </c>
      <c r="D2097" s="35" t="s">
        <v>235</v>
      </c>
      <c r="E2097" s="35">
        <v>36</v>
      </c>
      <c r="F2097" s="35" t="s">
        <v>85</v>
      </c>
      <c r="G2097" s="35">
        <v>8.06</v>
      </c>
    </row>
    <row r="2098" spans="1:7" x14ac:dyDescent="0.2">
      <c r="A2098" s="35" t="s">
        <v>75</v>
      </c>
      <c r="B2098" s="35" t="s">
        <v>75</v>
      </c>
      <c r="C2098" s="35" t="s">
        <v>223</v>
      </c>
      <c r="D2098" s="35" t="s">
        <v>232</v>
      </c>
      <c r="E2098" s="35">
        <v>36</v>
      </c>
      <c r="F2098" s="35" t="s">
        <v>85</v>
      </c>
      <c r="G2098" s="35">
        <v>8.2799999999999994</v>
      </c>
    </row>
    <row r="2099" spans="1:7" x14ac:dyDescent="0.2">
      <c r="A2099" s="35" t="s">
        <v>75</v>
      </c>
      <c r="B2099" s="35" t="s">
        <v>75</v>
      </c>
      <c r="C2099" s="35" t="s">
        <v>223</v>
      </c>
      <c r="D2099" s="35" t="s">
        <v>236</v>
      </c>
      <c r="E2099" s="35">
        <v>36</v>
      </c>
      <c r="F2099" s="35" t="s">
        <v>85</v>
      </c>
      <c r="G2099" s="35">
        <v>8.1999999999999993</v>
      </c>
    </row>
    <row r="2100" spans="1:7" x14ac:dyDescent="0.2">
      <c r="A2100" s="35" t="s">
        <v>75</v>
      </c>
      <c r="B2100" s="35" t="s">
        <v>221</v>
      </c>
      <c r="C2100" s="35" t="s">
        <v>65</v>
      </c>
      <c r="D2100" s="35" t="s">
        <v>222</v>
      </c>
      <c r="E2100" s="35">
        <v>36</v>
      </c>
      <c r="F2100" s="35" t="s">
        <v>85</v>
      </c>
      <c r="G2100" s="35">
        <v>8.1</v>
      </c>
    </row>
    <row r="2101" spans="1:7" x14ac:dyDescent="0.2">
      <c r="A2101" s="35" t="s">
        <v>75</v>
      </c>
      <c r="B2101" s="35" t="s">
        <v>221</v>
      </c>
      <c r="C2101" s="35" t="s">
        <v>223</v>
      </c>
      <c r="D2101" s="35" t="s">
        <v>224</v>
      </c>
      <c r="E2101" s="35">
        <v>36</v>
      </c>
      <c r="F2101" s="35" t="s">
        <v>85</v>
      </c>
      <c r="G2101" s="35">
        <v>8.0299999999999994</v>
      </c>
    </row>
    <row r="2102" spans="1:7" x14ac:dyDescent="0.2">
      <c r="A2102" s="35" t="s">
        <v>52</v>
      </c>
      <c r="B2102" s="35" t="s">
        <v>52</v>
      </c>
      <c r="C2102" s="35" t="s">
        <v>65</v>
      </c>
      <c r="D2102" s="35" t="s">
        <v>237</v>
      </c>
      <c r="E2102" s="35">
        <v>36</v>
      </c>
      <c r="F2102" s="35" t="s">
        <v>85</v>
      </c>
      <c r="G2102" s="35">
        <v>8.1</v>
      </c>
    </row>
    <row r="2103" spans="1:7" x14ac:dyDescent="0.2">
      <c r="A2103" s="35" t="s">
        <v>52</v>
      </c>
      <c r="B2103" s="35" t="s">
        <v>52</v>
      </c>
      <c r="C2103" s="35" t="s">
        <v>65</v>
      </c>
      <c r="D2103" s="35" t="s">
        <v>238</v>
      </c>
      <c r="E2103" s="35">
        <v>36</v>
      </c>
      <c r="F2103" s="35" t="s">
        <v>85</v>
      </c>
      <c r="G2103" s="35">
        <v>8.16</v>
      </c>
    </row>
    <row r="2104" spans="1:7" x14ac:dyDescent="0.2">
      <c r="A2104" s="35" t="s">
        <v>52</v>
      </c>
      <c r="B2104" s="35" t="s">
        <v>52</v>
      </c>
      <c r="C2104" s="35" t="s">
        <v>65</v>
      </c>
      <c r="D2104" s="35" t="s">
        <v>239</v>
      </c>
      <c r="E2104" s="35">
        <v>36</v>
      </c>
      <c r="F2104" s="35" t="s">
        <v>85</v>
      </c>
      <c r="G2104" s="35">
        <v>8.02</v>
      </c>
    </row>
    <row r="2105" spans="1:7" x14ac:dyDescent="0.2">
      <c r="A2105" s="35" t="s">
        <v>52</v>
      </c>
      <c r="B2105" s="35" t="s">
        <v>52</v>
      </c>
      <c r="C2105" s="35" t="s">
        <v>65</v>
      </c>
      <c r="D2105" s="35" t="s">
        <v>240</v>
      </c>
      <c r="E2105" s="35">
        <v>36</v>
      </c>
      <c r="F2105" s="35" t="s">
        <v>85</v>
      </c>
      <c r="G2105" s="35">
        <v>8.19</v>
      </c>
    </row>
    <row r="2106" spans="1:7" x14ac:dyDescent="0.2">
      <c r="A2106" s="35" t="s">
        <v>52</v>
      </c>
      <c r="B2106" s="35" t="s">
        <v>52</v>
      </c>
      <c r="C2106" s="35" t="s">
        <v>65</v>
      </c>
      <c r="D2106" s="35" t="s">
        <v>245</v>
      </c>
      <c r="E2106" s="35">
        <v>36</v>
      </c>
      <c r="F2106" s="35" t="s">
        <v>85</v>
      </c>
      <c r="G2106" s="35">
        <v>8.11</v>
      </c>
    </row>
    <row r="2107" spans="1:7" x14ac:dyDescent="0.2">
      <c r="A2107" s="35" t="s">
        <v>52</v>
      </c>
      <c r="B2107" s="35" t="s">
        <v>52</v>
      </c>
      <c r="C2107" s="35" t="s">
        <v>223</v>
      </c>
      <c r="D2107" s="35" t="s">
        <v>241</v>
      </c>
      <c r="E2107" s="35">
        <v>36</v>
      </c>
      <c r="F2107" s="35" t="s">
        <v>85</v>
      </c>
      <c r="G2107" s="35">
        <v>8.19</v>
      </c>
    </row>
    <row r="2108" spans="1:7" x14ac:dyDescent="0.2">
      <c r="A2108" s="35" t="s">
        <v>52</v>
      </c>
      <c r="B2108" s="35" t="s">
        <v>52</v>
      </c>
      <c r="C2108" s="35" t="s">
        <v>223</v>
      </c>
      <c r="D2108" s="35" t="s">
        <v>246</v>
      </c>
      <c r="E2108" s="35">
        <v>36</v>
      </c>
      <c r="F2108" s="35" t="s">
        <v>85</v>
      </c>
      <c r="G2108" s="35">
        <v>8.1999999999999993</v>
      </c>
    </row>
    <row r="2109" spans="1:7" x14ac:dyDescent="0.2">
      <c r="A2109" s="35" t="s">
        <v>52</v>
      </c>
      <c r="B2109" s="35" t="s">
        <v>52</v>
      </c>
      <c r="C2109" s="35" t="s">
        <v>223</v>
      </c>
      <c r="D2109" s="35" t="s">
        <v>242</v>
      </c>
      <c r="E2109" s="35">
        <v>36</v>
      </c>
      <c r="F2109" s="35" t="s">
        <v>85</v>
      </c>
      <c r="G2109" s="35">
        <v>6.8</v>
      </c>
    </row>
    <row r="2110" spans="1:7" x14ac:dyDescent="0.2">
      <c r="A2110" s="35" t="s">
        <v>52</v>
      </c>
      <c r="B2110" s="35" t="s">
        <v>52</v>
      </c>
      <c r="C2110" s="35" t="s">
        <v>223</v>
      </c>
      <c r="D2110" s="35" t="s">
        <v>243</v>
      </c>
      <c r="E2110" s="35">
        <v>36</v>
      </c>
      <c r="F2110" s="35" t="s">
        <v>85</v>
      </c>
      <c r="G2110" s="35">
        <v>7.91</v>
      </c>
    </row>
    <row r="2111" spans="1:7" x14ac:dyDescent="0.2">
      <c r="A2111" s="35" t="s">
        <v>52</v>
      </c>
      <c r="B2111" s="35" t="s">
        <v>52</v>
      </c>
      <c r="C2111" s="35" t="s">
        <v>223</v>
      </c>
      <c r="D2111" s="35" t="s">
        <v>244</v>
      </c>
      <c r="E2111" s="35">
        <v>36</v>
      </c>
      <c r="F2111" s="35" t="s">
        <v>85</v>
      </c>
      <c r="G2111" s="35">
        <v>7.9</v>
      </c>
    </row>
    <row r="2112" spans="1:7" x14ac:dyDescent="0.2">
      <c r="A2112" s="35" t="s">
        <v>52</v>
      </c>
      <c r="B2112" s="35" t="s">
        <v>221</v>
      </c>
      <c r="C2112" s="35" t="s">
        <v>65</v>
      </c>
      <c r="D2112" s="35" t="s">
        <v>225</v>
      </c>
      <c r="E2112" s="35">
        <v>36</v>
      </c>
      <c r="F2112" s="35" t="s">
        <v>85</v>
      </c>
      <c r="G2112" s="35">
        <v>7.94</v>
      </c>
    </row>
    <row r="2113" spans="1:7" x14ac:dyDescent="0.2">
      <c r="A2113" s="35" t="s">
        <v>52</v>
      </c>
      <c r="B2113" s="35" t="s">
        <v>221</v>
      </c>
      <c r="C2113" s="35" t="s">
        <v>223</v>
      </c>
      <c r="D2113" s="35" t="s">
        <v>226</v>
      </c>
      <c r="E2113" s="35">
        <v>36</v>
      </c>
      <c r="F2113" s="35" t="s">
        <v>85</v>
      </c>
      <c r="G2113" s="35">
        <v>8.0399999999999991</v>
      </c>
    </row>
    <row r="2114" spans="1:7" x14ac:dyDescent="0.2">
      <c r="A2114" s="35" t="s">
        <v>75</v>
      </c>
      <c r="B2114" s="35" t="s">
        <v>75</v>
      </c>
      <c r="C2114" s="35" t="s">
        <v>65</v>
      </c>
      <c r="D2114" s="35" t="s">
        <v>233</v>
      </c>
      <c r="E2114" s="35">
        <v>39</v>
      </c>
      <c r="F2114" s="35" t="s">
        <v>85</v>
      </c>
      <c r="G2114" s="35">
        <v>7.97</v>
      </c>
    </row>
    <row r="2115" spans="1:7" x14ac:dyDescent="0.2">
      <c r="A2115" s="35" t="s">
        <v>75</v>
      </c>
      <c r="B2115" s="35" t="s">
        <v>75</v>
      </c>
      <c r="C2115" s="35" t="s">
        <v>65</v>
      </c>
      <c r="D2115" s="35" t="s">
        <v>227</v>
      </c>
      <c r="E2115" s="35">
        <v>39</v>
      </c>
      <c r="F2115" s="35" t="s">
        <v>85</v>
      </c>
      <c r="G2115" s="35">
        <v>7.95</v>
      </c>
    </row>
    <row r="2116" spans="1:7" x14ac:dyDescent="0.2">
      <c r="A2116" s="35" t="s">
        <v>75</v>
      </c>
      <c r="B2116" s="35" t="s">
        <v>75</v>
      </c>
      <c r="C2116" s="35" t="s">
        <v>65</v>
      </c>
      <c r="D2116" s="35" t="s">
        <v>228</v>
      </c>
      <c r="E2116" s="35">
        <v>39</v>
      </c>
      <c r="F2116" s="35" t="s">
        <v>85</v>
      </c>
      <c r="G2116" s="35">
        <v>7.94</v>
      </c>
    </row>
    <row r="2117" spans="1:7" x14ac:dyDescent="0.2">
      <c r="A2117" s="35" t="s">
        <v>75</v>
      </c>
      <c r="B2117" s="35" t="s">
        <v>75</v>
      </c>
      <c r="C2117" s="35" t="s">
        <v>65</v>
      </c>
      <c r="D2117" s="35" t="s">
        <v>229</v>
      </c>
      <c r="E2117" s="35">
        <v>39</v>
      </c>
      <c r="F2117" s="35" t="s">
        <v>85</v>
      </c>
      <c r="G2117" s="35">
        <v>7.96</v>
      </c>
    </row>
    <row r="2118" spans="1:7" x14ac:dyDescent="0.2">
      <c r="A2118" s="35" t="s">
        <v>75</v>
      </c>
      <c r="B2118" s="35" t="s">
        <v>75</v>
      </c>
      <c r="C2118" s="35" t="s">
        <v>65</v>
      </c>
      <c r="D2118" s="35" t="s">
        <v>234</v>
      </c>
      <c r="E2118" s="35">
        <v>39</v>
      </c>
      <c r="F2118" s="35" t="s">
        <v>85</v>
      </c>
      <c r="G2118" s="35">
        <v>7.98</v>
      </c>
    </row>
    <row r="2119" spans="1:7" x14ac:dyDescent="0.2">
      <c r="A2119" s="35" t="s">
        <v>75</v>
      </c>
      <c r="B2119" s="35" t="s">
        <v>75</v>
      </c>
      <c r="C2119" s="35" t="s">
        <v>223</v>
      </c>
      <c r="D2119" s="35" t="s">
        <v>230</v>
      </c>
      <c r="E2119" s="35">
        <v>39</v>
      </c>
      <c r="F2119" s="35" t="s">
        <v>85</v>
      </c>
      <c r="G2119" s="35">
        <v>7.96</v>
      </c>
    </row>
    <row r="2120" spans="1:7" x14ac:dyDescent="0.2">
      <c r="A2120" s="35" t="s">
        <v>75</v>
      </c>
      <c r="B2120" s="35" t="s">
        <v>75</v>
      </c>
      <c r="C2120" s="35" t="s">
        <v>223</v>
      </c>
      <c r="D2120" s="35" t="s">
        <v>231</v>
      </c>
      <c r="E2120" s="35">
        <v>39</v>
      </c>
      <c r="F2120" s="35" t="s">
        <v>85</v>
      </c>
      <c r="G2120" s="35">
        <v>8.0299999999999994</v>
      </c>
    </row>
    <row r="2121" spans="1:7" x14ac:dyDescent="0.2">
      <c r="A2121" s="35" t="s">
        <v>75</v>
      </c>
      <c r="B2121" s="35" t="s">
        <v>75</v>
      </c>
      <c r="C2121" s="35" t="s">
        <v>223</v>
      </c>
      <c r="D2121" s="35" t="s">
        <v>235</v>
      </c>
      <c r="E2121" s="35">
        <v>39</v>
      </c>
      <c r="F2121" s="35" t="s">
        <v>85</v>
      </c>
      <c r="G2121" s="35">
        <v>8.08</v>
      </c>
    </row>
    <row r="2122" spans="1:7" x14ac:dyDescent="0.2">
      <c r="A2122" s="35" t="s">
        <v>75</v>
      </c>
      <c r="B2122" s="35" t="s">
        <v>75</v>
      </c>
      <c r="C2122" s="35" t="s">
        <v>223</v>
      </c>
      <c r="D2122" s="35" t="s">
        <v>232</v>
      </c>
      <c r="E2122" s="35">
        <v>39</v>
      </c>
      <c r="F2122" s="35" t="s">
        <v>85</v>
      </c>
      <c r="G2122" s="35">
        <v>8.0500000000000007</v>
      </c>
    </row>
    <row r="2123" spans="1:7" x14ac:dyDescent="0.2">
      <c r="A2123" s="35" t="s">
        <v>75</v>
      </c>
      <c r="B2123" s="35" t="s">
        <v>75</v>
      </c>
      <c r="C2123" s="35" t="s">
        <v>223</v>
      </c>
      <c r="D2123" s="35" t="s">
        <v>236</v>
      </c>
      <c r="E2123" s="35">
        <v>39</v>
      </c>
      <c r="F2123" s="35" t="s">
        <v>85</v>
      </c>
      <c r="G2123" s="35">
        <v>8.0299999999999994</v>
      </c>
    </row>
    <row r="2124" spans="1:7" x14ac:dyDescent="0.2">
      <c r="A2124" s="35" t="s">
        <v>75</v>
      </c>
      <c r="B2124" s="35" t="s">
        <v>221</v>
      </c>
      <c r="C2124" s="35" t="s">
        <v>65</v>
      </c>
      <c r="D2124" s="35" t="s">
        <v>222</v>
      </c>
      <c r="E2124" s="35">
        <v>39</v>
      </c>
      <c r="F2124" s="35" t="s">
        <v>85</v>
      </c>
      <c r="G2124" s="35">
        <v>7.96</v>
      </c>
    </row>
    <row r="2125" spans="1:7" x14ac:dyDescent="0.2">
      <c r="A2125" s="35" t="s">
        <v>75</v>
      </c>
      <c r="B2125" s="35" t="s">
        <v>221</v>
      </c>
      <c r="C2125" s="35" t="s">
        <v>223</v>
      </c>
      <c r="D2125" s="35" t="s">
        <v>224</v>
      </c>
      <c r="E2125" s="35">
        <v>39</v>
      </c>
      <c r="F2125" s="35" t="s">
        <v>85</v>
      </c>
      <c r="G2125" s="35">
        <v>7.98</v>
      </c>
    </row>
    <row r="2126" spans="1:7" x14ac:dyDescent="0.2">
      <c r="A2126" s="35" t="s">
        <v>52</v>
      </c>
      <c r="B2126" s="35" t="s">
        <v>52</v>
      </c>
      <c r="C2126" s="35" t="s">
        <v>65</v>
      </c>
      <c r="D2126" s="35" t="s">
        <v>237</v>
      </c>
      <c r="E2126" s="35">
        <v>39</v>
      </c>
      <c r="F2126" s="35" t="s">
        <v>85</v>
      </c>
      <c r="G2126" s="35">
        <v>7.98</v>
      </c>
    </row>
    <row r="2127" spans="1:7" x14ac:dyDescent="0.2">
      <c r="A2127" s="35" t="s">
        <v>52</v>
      </c>
      <c r="B2127" s="35" t="s">
        <v>52</v>
      </c>
      <c r="C2127" s="35" t="s">
        <v>65</v>
      </c>
      <c r="D2127" s="35" t="s">
        <v>238</v>
      </c>
      <c r="E2127" s="35">
        <v>39</v>
      </c>
      <c r="F2127" s="35" t="s">
        <v>85</v>
      </c>
      <c r="G2127" s="35">
        <v>7.82</v>
      </c>
    </row>
    <row r="2128" spans="1:7" x14ac:dyDescent="0.2">
      <c r="A2128" s="35" t="s">
        <v>52</v>
      </c>
      <c r="B2128" s="35" t="s">
        <v>52</v>
      </c>
      <c r="C2128" s="35" t="s">
        <v>65</v>
      </c>
      <c r="D2128" s="35" t="s">
        <v>239</v>
      </c>
      <c r="E2128" s="35">
        <v>39</v>
      </c>
      <c r="F2128" s="35" t="s">
        <v>85</v>
      </c>
      <c r="G2128" s="35">
        <v>7.91</v>
      </c>
    </row>
    <row r="2129" spans="1:7" x14ac:dyDescent="0.2">
      <c r="A2129" s="35" t="s">
        <v>52</v>
      </c>
      <c r="B2129" s="35" t="s">
        <v>52</v>
      </c>
      <c r="C2129" s="35" t="s">
        <v>65</v>
      </c>
      <c r="D2129" s="35" t="s">
        <v>240</v>
      </c>
      <c r="E2129" s="35">
        <v>39</v>
      </c>
      <c r="F2129" s="35" t="s">
        <v>85</v>
      </c>
      <c r="G2129" s="35">
        <v>7.89</v>
      </c>
    </row>
    <row r="2130" spans="1:7" x14ac:dyDescent="0.2">
      <c r="A2130" s="35" t="s">
        <v>52</v>
      </c>
      <c r="B2130" s="35" t="s">
        <v>52</v>
      </c>
      <c r="C2130" s="35" t="s">
        <v>65</v>
      </c>
      <c r="D2130" s="35" t="s">
        <v>245</v>
      </c>
      <c r="E2130" s="35">
        <v>39</v>
      </c>
      <c r="F2130" s="35" t="s">
        <v>85</v>
      </c>
      <c r="G2130" s="35">
        <v>8.02</v>
      </c>
    </row>
    <row r="2131" spans="1:7" x14ac:dyDescent="0.2">
      <c r="A2131" s="35" t="s">
        <v>52</v>
      </c>
      <c r="B2131" s="35" t="s">
        <v>52</v>
      </c>
      <c r="C2131" s="35" t="s">
        <v>223</v>
      </c>
      <c r="D2131" s="35" t="s">
        <v>241</v>
      </c>
      <c r="E2131" s="35">
        <v>39</v>
      </c>
      <c r="F2131" s="35" t="s">
        <v>85</v>
      </c>
      <c r="G2131" s="35">
        <v>8.01</v>
      </c>
    </row>
    <row r="2132" spans="1:7" x14ac:dyDescent="0.2">
      <c r="A2132" s="35" t="s">
        <v>52</v>
      </c>
      <c r="B2132" s="35" t="s">
        <v>52</v>
      </c>
      <c r="C2132" s="35" t="s">
        <v>223</v>
      </c>
      <c r="D2132" s="35" t="s">
        <v>246</v>
      </c>
      <c r="E2132" s="35">
        <v>39</v>
      </c>
      <c r="F2132" s="35" t="s">
        <v>85</v>
      </c>
      <c r="G2132" s="35">
        <v>7.48</v>
      </c>
    </row>
    <row r="2133" spans="1:7" x14ac:dyDescent="0.2">
      <c r="A2133" s="35" t="s">
        <v>52</v>
      </c>
      <c r="B2133" s="35" t="s">
        <v>52</v>
      </c>
      <c r="C2133" s="35" t="s">
        <v>223</v>
      </c>
      <c r="D2133" s="35" t="s">
        <v>242</v>
      </c>
      <c r="E2133" s="35">
        <v>39</v>
      </c>
      <c r="F2133" s="35" t="s">
        <v>85</v>
      </c>
      <c r="G2133" s="35">
        <v>7.89</v>
      </c>
    </row>
    <row r="2134" spans="1:7" x14ac:dyDescent="0.2">
      <c r="A2134" s="35" t="s">
        <v>52</v>
      </c>
      <c r="B2134" s="35" t="s">
        <v>52</v>
      </c>
      <c r="C2134" s="35" t="s">
        <v>223</v>
      </c>
      <c r="D2134" s="35" t="s">
        <v>243</v>
      </c>
      <c r="E2134" s="35">
        <v>39</v>
      </c>
      <c r="F2134" s="35" t="s">
        <v>85</v>
      </c>
      <c r="G2134" s="35">
        <v>7.95</v>
      </c>
    </row>
    <row r="2135" spans="1:7" x14ac:dyDescent="0.2">
      <c r="A2135" s="35" t="s">
        <v>52</v>
      </c>
      <c r="B2135" s="35" t="s">
        <v>52</v>
      </c>
      <c r="C2135" s="35" t="s">
        <v>223</v>
      </c>
      <c r="D2135" s="35" t="s">
        <v>244</v>
      </c>
      <c r="E2135" s="35">
        <v>39</v>
      </c>
      <c r="F2135" s="35" t="s">
        <v>85</v>
      </c>
      <c r="G2135" s="35">
        <v>7.98</v>
      </c>
    </row>
    <row r="2136" spans="1:7" x14ac:dyDescent="0.2">
      <c r="A2136" s="35" t="s">
        <v>52</v>
      </c>
      <c r="B2136" s="35" t="s">
        <v>221</v>
      </c>
      <c r="C2136" s="35" t="s">
        <v>65</v>
      </c>
      <c r="D2136" s="35" t="s">
        <v>225</v>
      </c>
      <c r="E2136" s="35">
        <v>39</v>
      </c>
      <c r="F2136" s="35" t="s">
        <v>85</v>
      </c>
      <c r="G2136" s="35">
        <v>7.96</v>
      </c>
    </row>
    <row r="2137" spans="1:7" x14ac:dyDescent="0.2">
      <c r="A2137" s="35" t="s">
        <v>52</v>
      </c>
      <c r="B2137" s="35" t="s">
        <v>221</v>
      </c>
      <c r="C2137" s="35" t="s">
        <v>223</v>
      </c>
      <c r="D2137" s="35" t="s">
        <v>226</v>
      </c>
      <c r="E2137" s="35">
        <v>39</v>
      </c>
      <c r="F2137" s="35" t="s">
        <v>85</v>
      </c>
      <c r="G2137" s="35">
        <v>7.96</v>
      </c>
    </row>
    <row r="2138" spans="1:7" x14ac:dyDescent="0.2">
      <c r="A2138" s="35" t="s">
        <v>75</v>
      </c>
      <c r="B2138" s="35" t="s">
        <v>75</v>
      </c>
      <c r="C2138" s="35" t="s">
        <v>65</v>
      </c>
      <c r="D2138" s="35" t="s">
        <v>233</v>
      </c>
      <c r="E2138" s="35">
        <v>42</v>
      </c>
      <c r="F2138" s="35" t="s">
        <v>85</v>
      </c>
      <c r="G2138" s="35">
        <v>8.0299999999999994</v>
      </c>
    </row>
    <row r="2139" spans="1:7" x14ac:dyDescent="0.2">
      <c r="A2139" s="35" t="s">
        <v>75</v>
      </c>
      <c r="B2139" s="35" t="s">
        <v>75</v>
      </c>
      <c r="C2139" s="35" t="s">
        <v>65</v>
      </c>
      <c r="D2139" s="35" t="s">
        <v>227</v>
      </c>
      <c r="E2139" s="35">
        <v>42</v>
      </c>
      <c r="F2139" s="35" t="s">
        <v>85</v>
      </c>
      <c r="G2139" s="35">
        <v>8.0299999999999994</v>
      </c>
    </row>
    <row r="2140" spans="1:7" x14ac:dyDescent="0.2">
      <c r="A2140" s="35" t="s">
        <v>75</v>
      </c>
      <c r="B2140" s="35" t="s">
        <v>75</v>
      </c>
      <c r="C2140" s="35" t="s">
        <v>65</v>
      </c>
      <c r="D2140" s="35" t="s">
        <v>228</v>
      </c>
      <c r="E2140" s="35">
        <v>42</v>
      </c>
      <c r="F2140" s="35" t="s">
        <v>85</v>
      </c>
      <c r="G2140" s="35">
        <v>8.0500000000000007</v>
      </c>
    </row>
    <row r="2141" spans="1:7" x14ac:dyDescent="0.2">
      <c r="A2141" s="35" t="s">
        <v>75</v>
      </c>
      <c r="B2141" s="35" t="s">
        <v>75</v>
      </c>
      <c r="C2141" s="35" t="s">
        <v>65</v>
      </c>
      <c r="D2141" s="35" t="s">
        <v>229</v>
      </c>
      <c r="E2141" s="35">
        <v>42</v>
      </c>
      <c r="F2141" s="35" t="s">
        <v>85</v>
      </c>
      <c r="G2141" s="35">
        <v>8.07</v>
      </c>
    </row>
    <row r="2142" spans="1:7" x14ac:dyDescent="0.2">
      <c r="A2142" s="35" t="s">
        <v>75</v>
      </c>
      <c r="B2142" s="35" t="s">
        <v>75</v>
      </c>
      <c r="C2142" s="35" t="s">
        <v>65</v>
      </c>
      <c r="D2142" s="35" t="s">
        <v>234</v>
      </c>
      <c r="E2142" s="35">
        <v>42</v>
      </c>
      <c r="F2142" s="35" t="s">
        <v>85</v>
      </c>
      <c r="G2142" s="35">
        <v>8.07</v>
      </c>
    </row>
    <row r="2143" spans="1:7" x14ac:dyDescent="0.2">
      <c r="A2143" s="35" t="s">
        <v>75</v>
      </c>
      <c r="B2143" s="35" t="s">
        <v>75</v>
      </c>
      <c r="C2143" s="35" t="s">
        <v>223</v>
      </c>
      <c r="D2143" s="35" t="s">
        <v>230</v>
      </c>
      <c r="E2143" s="35">
        <v>42</v>
      </c>
      <c r="F2143" s="35" t="s">
        <v>85</v>
      </c>
      <c r="G2143" s="35">
        <v>8.0299999999999994</v>
      </c>
    </row>
    <row r="2144" spans="1:7" x14ac:dyDescent="0.2">
      <c r="A2144" s="35" t="s">
        <v>75</v>
      </c>
      <c r="B2144" s="35" t="s">
        <v>75</v>
      </c>
      <c r="C2144" s="35" t="s">
        <v>223</v>
      </c>
      <c r="D2144" s="35" t="s">
        <v>231</v>
      </c>
      <c r="E2144" s="35">
        <v>42</v>
      </c>
      <c r="F2144" s="35" t="s">
        <v>85</v>
      </c>
      <c r="G2144" s="35">
        <v>8.06</v>
      </c>
    </row>
    <row r="2145" spans="1:7" x14ac:dyDescent="0.2">
      <c r="A2145" s="35" t="s">
        <v>75</v>
      </c>
      <c r="B2145" s="35" t="s">
        <v>75</v>
      </c>
      <c r="C2145" s="35" t="s">
        <v>223</v>
      </c>
      <c r="D2145" s="35" t="s">
        <v>235</v>
      </c>
      <c r="E2145" s="35">
        <v>42</v>
      </c>
      <c r="F2145" s="35" t="s">
        <v>85</v>
      </c>
      <c r="G2145" s="35">
        <v>8.15</v>
      </c>
    </row>
    <row r="2146" spans="1:7" x14ac:dyDescent="0.2">
      <c r="A2146" s="35" t="s">
        <v>75</v>
      </c>
      <c r="B2146" s="35" t="s">
        <v>75</v>
      </c>
      <c r="C2146" s="35" t="s">
        <v>223</v>
      </c>
      <c r="D2146" s="35" t="s">
        <v>232</v>
      </c>
      <c r="E2146" s="35">
        <v>42</v>
      </c>
      <c r="F2146" s="35" t="s">
        <v>85</v>
      </c>
      <c r="G2146" s="35">
        <v>8.1199999999999992</v>
      </c>
    </row>
    <row r="2147" spans="1:7" x14ac:dyDescent="0.2">
      <c r="A2147" s="35" t="s">
        <v>75</v>
      </c>
      <c r="B2147" s="35" t="s">
        <v>75</v>
      </c>
      <c r="C2147" s="35" t="s">
        <v>223</v>
      </c>
      <c r="D2147" s="35" t="s">
        <v>236</v>
      </c>
      <c r="E2147" s="35">
        <v>42</v>
      </c>
      <c r="F2147" s="35" t="s">
        <v>85</v>
      </c>
      <c r="G2147" s="35">
        <v>8.08</v>
      </c>
    </row>
    <row r="2148" spans="1:7" x14ac:dyDescent="0.2">
      <c r="A2148" s="35" t="s">
        <v>75</v>
      </c>
      <c r="B2148" s="35" t="s">
        <v>221</v>
      </c>
      <c r="C2148" s="35" t="s">
        <v>65</v>
      </c>
      <c r="D2148" s="35" t="s">
        <v>222</v>
      </c>
      <c r="E2148" s="35">
        <v>42</v>
      </c>
      <c r="F2148" s="35" t="s">
        <v>85</v>
      </c>
      <c r="G2148" s="35">
        <v>8.0500000000000007</v>
      </c>
    </row>
    <row r="2149" spans="1:7" x14ac:dyDescent="0.2">
      <c r="A2149" s="35" t="s">
        <v>75</v>
      </c>
      <c r="B2149" s="35" t="s">
        <v>221</v>
      </c>
      <c r="C2149" s="35" t="s">
        <v>223</v>
      </c>
      <c r="D2149" s="35" t="s">
        <v>224</v>
      </c>
      <c r="E2149" s="35">
        <v>42</v>
      </c>
      <c r="F2149" s="35" t="s">
        <v>85</v>
      </c>
      <c r="G2149" s="35">
        <v>8.07</v>
      </c>
    </row>
    <row r="2150" spans="1:7" x14ac:dyDescent="0.2">
      <c r="A2150" s="35" t="s">
        <v>52</v>
      </c>
      <c r="B2150" s="35" t="s">
        <v>52</v>
      </c>
      <c r="C2150" s="35" t="s">
        <v>65</v>
      </c>
      <c r="D2150" s="35" t="s">
        <v>237</v>
      </c>
      <c r="E2150" s="35">
        <v>42</v>
      </c>
      <c r="F2150" s="35" t="s">
        <v>85</v>
      </c>
      <c r="G2150" s="35">
        <v>7.75</v>
      </c>
    </row>
    <row r="2151" spans="1:7" x14ac:dyDescent="0.2">
      <c r="A2151" s="35" t="s">
        <v>52</v>
      </c>
      <c r="B2151" s="35" t="s">
        <v>52</v>
      </c>
      <c r="C2151" s="35" t="s">
        <v>65</v>
      </c>
      <c r="D2151" s="35" t="s">
        <v>238</v>
      </c>
      <c r="E2151" s="35">
        <v>42</v>
      </c>
      <c r="F2151" s="35" t="s">
        <v>85</v>
      </c>
      <c r="G2151" s="35">
        <v>8.01</v>
      </c>
    </row>
    <row r="2152" spans="1:7" x14ac:dyDescent="0.2">
      <c r="A2152" s="35" t="s">
        <v>52</v>
      </c>
      <c r="B2152" s="35" t="s">
        <v>52</v>
      </c>
      <c r="C2152" s="35" t="s">
        <v>65</v>
      </c>
      <c r="D2152" s="35" t="s">
        <v>239</v>
      </c>
      <c r="E2152" s="35">
        <v>42</v>
      </c>
      <c r="F2152" s="35" t="s">
        <v>85</v>
      </c>
      <c r="G2152" s="35">
        <v>8.08</v>
      </c>
    </row>
    <row r="2153" spans="1:7" x14ac:dyDescent="0.2">
      <c r="A2153" s="35" t="s">
        <v>52</v>
      </c>
      <c r="B2153" s="35" t="s">
        <v>52</v>
      </c>
      <c r="C2153" s="35" t="s">
        <v>65</v>
      </c>
      <c r="D2153" s="35" t="s">
        <v>240</v>
      </c>
      <c r="E2153" s="35">
        <v>42</v>
      </c>
      <c r="F2153" s="35" t="s">
        <v>85</v>
      </c>
      <c r="G2153" s="35">
        <v>8.08</v>
      </c>
    </row>
    <row r="2154" spans="1:7" x14ac:dyDescent="0.2">
      <c r="A2154" s="35" t="s">
        <v>52</v>
      </c>
      <c r="B2154" s="35" t="s">
        <v>52</v>
      </c>
      <c r="C2154" s="35" t="s">
        <v>65</v>
      </c>
      <c r="D2154" s="35" t="s">
        <v>245</v>
      </c>
      <c r="E2154" s="35">
        <v>42</v>
      </c>
      <c r="F2154" s="35" t="s">
        <v>85</v>
      </c>
      <c r="G2154" s="35">
        <v>8.07</v>
      </c>
    </row>
    <row r="2155" spans="1:7" x14ac:dyDescent="0.2">
      <c r="A2155" s="35" t="s">
        <v>52</v>
      </c>
      <c r="B2155" s="35" t="s">
        <v>52</v>
      </c>
      <c r="C2155" s="35" t="s">
        <v>223</v>
      </c>
      <c r="D2155" s="35" t="s">
        <v>241</v>
      </c>
      <c r="E2155" s="35">
        <v>42</v>
      </c>
      <c r="F2155" s="35" t="s">
        <v>85</v>
      </c>
      <c r="G2155" s="35">
        <v>8.08</v>
      </c>
    </row>
    <row r="2156" spans="1:7" x14ac:dyDescent="0.2">
      <c r="A2156" s="35" t="s">
        <v>52</v>
      </c>
      <c r="B2156" s="35" t="s">
        <v>52</v>
      </c>
      <c r="C2156" s="35" t="s">
        <v>223</v>
      </c>
      <c r="D2156" s="35" t="s">
        <v>246</v>
      </c>
      <c r="E2156" s="35">
        <v>42</v>
      </c>
      <c r="F2156" s="35" t="s">
        <v>85</v>
      </c>
      <c r="G2156" s="35">
        <v>7.96</v>
      </c>
    </row>
    <row r="2157" spans="1:7" x14ac:dyDescent="0.2">
      <c r="A2157" s="35" t="s">
        <v>52</v>
      </c>
      <c r="B2157" s="35" t="s">
        <v>52</v>
      </c>
      <c r="C2157" s="35" t="s">
        <v>223</v>
      </c>
      <c r="D2157" s="35" t="s">
        <v>242</v>
      </c>
      <c r="E2157" s="35">
        <v>42</v>
      </c>
      <c r="F2157" s="35" t="s">
        <v>85</v>
      </c>
      <c r="G2157" s="35">
        <v>8.0399999999999991</v>
      </c>
    </row>
    <row r="2158" spans="1:7" x14ac:dyDescent="0.2">
      <c r="A2158" s="35" t="s">
        <v>52</v>
      </c>
      <c r="B2158" s="35" t="s">
        <v>52</v>
      </c>
      <c r="C2158" s="35" t="s">
        <v>223</v>
      </c>
      <c r="D2158" s="35" t="s">
        <v>243</v>
      </c>
      <c r="E2158" s="35">
        <v>42</v>
      </c>
      <c r="F2158" s="35" t="s">
        <v>85</v>
      </c>
      <c r="G2158" s="35">
        <v>8.0500000000000007</v>
      </c>
    </row>
    <row r="2159" spans="1:7" x14ac:dyDescent="0.2">
      <c r="A2159" s="35" t="s">
        <v>52</v>
      </c>
      <c r="B2159" s="35" t="s">
        <v>52</v>
      </c>
      <c r="C2159" s="35" t="s">
        <v>223</v>
      </c>
      <c r="D2159" s="35" t="s">
        <v>244</v>
      </c>
      <c r="E2159" s="35">
        <v>42</v>
      </c>
      <c r="F2159" s="35" t="s">
        <v>85</v>
      </c>
      <c r="G2159" s="35">
        <v>8.06</v>
      </c>
    </row>
    <row r="2160" spans="1:7" x14ac:dyDescent="0.2">
      <c r="A2160" s="35" t="s">
        <v>52</v>
      </c>
      <c r="B2160" s="35" t="s">
        <v>221</v>
      </c>
      <c r="C2160" s="35" t="s">
        <v>65</v>
      </c>
      <c r="D2160" s="35" t="s">
        <v>225</v>
      </c>
      <c r="E2160" s="35">
        <v>42</v>
      </c>
      <c r="F2160" s="35" t="s">
        <v>85</v>
      </c>
      <c r="G2160" s="35">
        <v>8.06</v>
      </c>
    </row>
    <row r="2161" spans="1:7" x14ac:dyDescent="0.2">
      <c r="A2161" s="35" t="s">
        <v>52</v>
      </c>
      <c r="B2161" s="35" t="s">
        <v>221</v>
      </c>
      <c r="C2161" s="35" t="s">
        <v>223</v>
      </c>
      <c r="D2161" s="35" t="s">
        <v>226</v>
      </c>
      <c r="E2161" s="35">
        <v>42</v>
      </c>
      <c r="F2161" s="35" t="s">
        <v>85</v>
      </c>
      <c r="G2161" s="35">
        <v>8.06</v>
      </c>
    </row>
  </sheetData>
  <sortState xmlns:xlrd2="http://schemas.microsoft.com/office/spreadsheetml/2017/richdata2" ref="A338:G1153">
    <sortCondition ref="E338:E1153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31469-D6AA-E843-9E5E-290C39AD7988}">
  <dimension ref="A1:J61"/>
  <sheetViews>
    <sheetView workbookViewId="0">
      <selection activeCell="O2" sqref="O2"/>
    </sheetView>
  </sheetViews>
  <sheetFormatPr baseColWidth="10" defaultRowHeight="16" x14ac:dyDescent="0.2"/>
  <cols>
    <col min="4" max="4" width="15.33203125" customWidth="1"/>
  </cols>
  <sheetData>
    <row r="1" spans="1:10" x14ac:dyDescent="0.2">
      <c r="A1" s="30" t="s">
        <v>217</v>
      </c>
      <c r="B1" s="30" t="s">
        <v>155</v>
      </c>
      <c r="C1" s="30" t="s">
        <v>218</v>
      </c>
      <c r="D1" s="30" t="s">
        <v>220</v>
      </c>
      <c r="E1" s="30" t="s">
        <v>219</v>
      </c>
      <c r="F1" s="30" t="s">
        <v>296</v>
      </c>
      <c r="G1" s="30" t="s">
        <v>298</v>
      </c>
      <c r="H1" s="30" t="s">
        <v>297</v>
      </c>
      <c r="I1" s="30" t="s">
        <v>299</v>
      </c>
    </row>
    <row r="2" spans="1:10" x14ac:dyDescent="0.2">
      <c r="A2" s="30" t="s">
        <v>75</v>
      </c>
      <c r="B2" s="30" t="s">
        <v>221</v>
      </c>
      <c r="C2" s="30" t="s">
        <v>65</v>
      </c>
      <c r="D2" s="30" t="s">
        <v>222</v>
      </c>
      <c r="E2" s="30">
        <v>0</v>
      </c>
      <c r="H2" s="31">
        <v>8.4124719999999993</v>
      </c>
      <c r="I2" s="31">
        <v>0.11213388000000001</v>
      </c>
    </row>
    <row r="3" spans="1:10" x14ac:dyDescent="0.2">
      <c r="A3" s="30" t="s">
        <v>75</v>
      </c>
      <c r="B3" s="30" t="s">
        <v>221</v>
      </c>
      <c r="C3" s="30" t="s">
        <v>223</v>
      </c>
      <c r="D3" s="30" t="s">
        <v>224</v>
      </c>
      <c r="E3" s="30">
        <v>0</v>
      </c>
      <c r="H3" s="31">
        <v>8.4124719999999993</v>
      </c>
      <c r="I3" s="31">
        <v>0.11213388000000001</v>
      </c>
    </row>
    <row r="4" spans="1:10" x14ac:dyDescent="0.2">
      <c r="A4" s="30" t="s">
        <v>75</v>
      </c>
      <c r="B4" s="30" t="s">
        <v>75</v>
      </c>
      <c r="C4" s="30" t="s">
        <v>65</v>
      </c>
      <c r="D4" s="30" t="s">
        <v>233</v>
      </c>
      <c r="E4" s="30">
        <v>0</v>
      </c>
      <c r="H4" s="31">
        <v>7.7896070000000002</v>
      </c>
      <c r="I4" s="31">
        <v>0.14203852</v>
      </c>
    </row>
    <row r="5" spans="1:10" x14ac:dyDescent="0.2">
      <c r="A5" s="30" t="s">
        <v>75</v>
      </c>
      <c r="B5" s="30" t="s">
        <v>75</v>
      </c>
      <c r="C5" s="30" t="s">
        <v>223</v>
      </c>
      <c r="D5" s="30" t="s">
        <v>230</v>
      </c>
      <c r="E5" s="30">
        <v>0</v>
      </c>
      <c r="H5" s="31">
        <v>7.7896070000000002</v>
      </c>
      <c r="I5" s="31">
        <v>0.14203852</v>
      </c>
    </row>
    <row r="6" spans="1:10" x14ac:dyDescent="0.2">
      <c r="A6" s="30" t="s">
        <v>52</v>
      </c>
      <c r="B6" s="30" t="s">
        <v>221</v>
      </c>
      <c r="C6" s="30" t="s">
        <v>65</v>
      </c>
      <c r="D6" s="30" t="s">
        <v>225</v>
      </c>
      <c r="E6" s="30">
        <v>0</v>
      </c>
      <c r="H6" s="31">
        <v>8.3341729999999998</v>
      </c>
      <c r="I6" s="31">
        <v>7.6498620000000003E-2</v>
      </c>
      <c r="J6" s="31"/>
    </row>
    <row r="7" spans="1:10" x14ac:dyDescent="0.2">
      <c r="A7" s="30" t="s">
        <v>52</v>
      </c>
      <c r="B7" s="30" t="s">
        <v>221</v>
      </c>
      <c r="C7" s="30" t="s">
        <v>223</v>
      </c>
      <c r="D7" s="30" t="s">
        <v>226</v>
      </c>
      <c r="E7" s="30">
        <v>0</v>
      </c>
      <c r="H7" s="31">
        <v>8.3341729999999998</v>
      </c>
      <c r="I7" s="31">
        <v>7.6498620000000003E-2</v>
      </c>
      <c r="J7" s="31"/>
    </row>
    <row r="8" spans="1:10" x14ac:dyDescent="0.2">
      <c r="A8" s="30" t="s">
        <v>52</v>
      </c>
      <c r="B8" s="30" t="s">
        <v>52</v>
      </c>
      <c r="C8" s="30" t="s">
        <v>65</v>
      </c>
      <c r="D8" s="30" t="s">
        <v>237</v>
      </c>
      <c r="E8" s="30">
        <v>0</v>
      </c>
      <c r="H8" s="31">
        <v>8.0014339999999997</v>
      </c>
      <c r="I8" s="31">
        <v>9.2873360000000002E-2</v>
      </c>
    </row>
    <row r="9" spans="1:10" x14ac:dyDescent="0.2">
      <c r="A9" s="30" t="s">
        <v>52</v>
      </c>
      <c r="B9" s="30" t="s">
        <v>52</v>
      </c>
      <c r="C9" s="30" t="s">
        <v>223</v>
      </c>
      <c r="D9" s="30" t="s">
        <v>241</v>
      </c>
      <c r="E9" s="30">
        <v>0</v>
      </c>
      <c r="H9" s="31">
        <v>8.0014339999999997</v>
      </c>
      <c r="I9" s="31">
        <v>9.2873360000000002E-2</v>
      </c>
    </row>
    <row r="10" spans="1:10" x14ac:dyDescent="0.2">
      <c r="A10" s="30" t="s">
        <v>75</v>
      </c>
      <c r="B10" s="30" t="s">
        <v>75</v>
      </c>
      <c r="C10" s="30" t="s">
        <v>65</v>
      </c>
      <c r="D10" s="30" t="s">
        <v>233</v>
      </c>
      <c r="E10" s="30">
        <v>30</v>
      </c>
      <c r="F10">
        <v>11.0316876727729</v>
      </c>
      <c r="G10">
        <v>7.7626717655935498E-2</v>
      </c>
      <c r="H10">
        <f>F10*0.7034-0.1421</f>
        <v>7.617589109028458</v>
      </c>
      <c r="I10">
        <f>G10*0.7034</f>
        <v>5.4602633199185034E-2</v>
      </c>
    </row>
    <row r="11" spans="1:10" x14ac:dyDescent="0.2">
      <c r="A11" s="30" t="s">
        <v>75</v>
      </c>
      <c r="B11" s="30" t="s">
        <v>75</v>
      </c>
      <c r="C11" s="30" t="s">
        <v>65</v>
      </c>
      <c r="D11" s="30" t="s">
        <v>227</v>
      </c>
      <c r="E11" s="30">
        <v>30</v>
      </c>
      <c r="F11">
        <v>11.143454946448299</v>
      </c>
      <c r="G11">
        <v>9.4927401502127501E-2</v>
      </c>
      <c r="H11">
        <f t="shared" ref="H11:H61" si="0">F11*0.7034-0.1421</f>
        <v>7.6962062093317343</v>
      </c>
      <c r="I11">
        <f t="shared" ref="I11:I61" si="1">G11*0.7034</f>
        <v>6.6771934216596482E-2</v>
      </c>
    </row>
    <row r="12" spans="1:10" x14ac:dyDescent="0.2">
      <c r="A12" s="30" t="s">
        <v>75</v>
      </c>
      <c r="B12" s="30" t="s">
        <v>75</v>
      </c>
      <c r="C12" s="30" t="s">
        <v>65</v>
      </c>
      <c r="D12" s="30" t="s">
        <v>228</v>
      </c>
      <c r="E12" s="30">
        <v>30</v>
      </c>
      <c r="F12">
        <v>10.66643666450485</v>
      </c>
      <c r="G12">
        <v>0.12683217781644651</v>
      </c>
      <c r="H12">
        <f t="shared" si="0"/>
        <v>7.3606715498127118</v>
      </c>
      <c r="I12">
        <f t="shared" si="1"/>
        <v>8.9213753876088486E-2</v>
      </c>
    </row>
    <row r="13" spans="1:10" x14ac:dyDescent="0.2">
      <c r="A13" s="30" t="s">
        <v>75</v>
      </c>
      <c r="B13" s="30" t="s">
        <v>75</v>
      </c>
      <c r="C13" s="30" t="s">
        <v>223</v>
      </c>
      <c r="D13" s="30" t="s">
        <v>230</v>
      </c>
      <c r="E13" s="30">
        <v>30</v>
      </c>
      <c r="F13">
        <v>13.752338666240799</v>
      </c>
      <c r="G13">
        <v>7.31061577100445E-2</v>
      </c>
      <c r="H13">
        <f t="shared" si="0"/>
        <v>9.531295017833779</v>
      </c>
      <c r="I13">
        <f t="shared" si="1"/>
        <v>5.1422871333245301E-2</v>
      </c>
    </row>
    <row r="14" spans="1:10" x14ac:dyDescent="0.2">
      <c r="A14" s="30" t="s">
        <v>75</v>
      </c>
      <c r="B14" s="30" t="s">
        <v>75</v>
      </c>
      <c r="C14" s="30" t="s">
        <v>223</v>
      </c>
      <c r="D14" s="30" t="s">
        <v>231</v>
      </c>
      <c r="E14" s="30">
        <v>30</v>
      </c>
      <c r="F14">
        <v>12.786642209132799</v>
      </c>
      <c r="G14">
        <v>0.20143437802881947</v>
      </c>
      <c r="H14">
        <f t="shared" si="0"/>
        <v>8.8520241299040112</v>
      </c>
      <c r="I14">
        <f t="shared" si="1"/>
        <v>0.14168894150547162</v>
      </c>
    </row>
    <row r="15" spans="1:10" x14ac:dyDescent="0.2">
      <c r="A15" s="30" t="s">
        <v>75</v>
      </c>
      <c r="B15" s="30" t="s">
        <v>75</v>
      </c>
      <c r="C15" s="30" t="s">
        <v>223</v>
      </c>
      <c r="D15" s="30" t="s">
        <v>235</v>
      </c>
      <c r="E15" s="30">
        <v>30</v>
      </c>
      <c r="F15">
        <v>13.5697211551021</v>
      </c>
      <c r="G15">
        <v>0.10863659489383001</v>
      </c>
      <c r="H15">
        <f t="shared" si="0"/>
        <v>9.4028418604988175</v>
      </c>
      <c r="I15">
        <f t="shared" si="1"/>
        <v>7.6414980848320033E-2</v>
      </c>
    </row>
    <row r="16" spans="1:10" x14ac:dyDescent="0.2">
      <c r="A16" s="30" t="s">
        <v>75</v>
      </c>
      <c r="B16" s="30" t="s">
        <v>221</v>
      </c>
      <c r="C16" s="30" t="s">
        <v>65</v>
      </c>
      <c r="D16" s="30" t="s">
        <v>222</v>
      </c>
      <c r="E16" s="30">
        <v>30</v>
      </c>
      <c r="F16" t="s">
        <v>159</v>
      </c>
      <c r="G16" t="s">
        <v>159</v>
      </c>
      <c r="H16" t="s">
        <v>159</v>
      </c>
      <c r="I16" t="s">
        <v>159</v>
      </c>
    </row>
    <row r="17" spans="1:9" x14ac:dyDescent="0.2">
      <c r="A17" s="30" t="s">
        <v>75</v>
      </c>
      <c r="B17" s="30" t="s">
        <v>221</v>
      </c>
      <c r="C17" s="30" t="s">
        <v>223</v>
      </c>
      <c r="D17" s="30" t="s">
        <v>224</v>
      </c>
      <c r="E17" s="30">
        <v>30</v>
      </c>
      <c r="F17">
        <v>14.9819750028086</v>
      </c>
      <c r="G17">
        <v>0.12096013399330949</v>
      </c>
      <c r="H17">
        <f t="shared" si="0"/>
        <v>10.396221216975571</v>
      </c>
      <c r="I17">
        <f t="shared" si="1"/>
        <v>8.5083358250893901E-2</v>
      </c>
    </row>
    <row r="18" spans="1:9" x14ac:dyDescent="0.2">
      <c r="A18" s="30" t="s">
        <v>52</v>
      </c>
      <c r="B18" s="30" t="s">
        <v>52</v>
      </c>
      <c r="C18" s="30" t="s">
        <v>65</v>
      </c>
      <c r="D18" s="30" t="s">
        <v>237</v>
      </c>
      <c r="E18" s="30">
        <v>30</v>
      </c>
      <c r="F18">
        <v>11.529433111688199</v>
      </c>
      <c r="G18">
        <v>7.1107315768495105E-2</v>
      </c>
      <c r="H18">
        <f t="shared" si="0"/>
        <v>7.9677032507614802</v>
      </c>
      <c r="I18">
        <f t="shared" si="1"/>
        <v>5.0016885911559457E-2</v>
      </c>
    </row>
    <row r="19" spans="1:9" x14ac:dyDescent="0.2">
      <c r="A19" s="30" t="s">
        <v>52</v>
      </c>
      <c r="B19" s="30" t="s">
        <v>52</v>
      </c>
      <c r="C19" s="30" t="s">
        <v>65</v>
      </c>
      <c r="D19" s="30" t="s">
        <v>238</v>
      </c>
      <c r="E19" s="30">
        <v>30</v>
      </c>
      <c r="F19">
        <v>11.6091642909859</v>
      </c>
      <c r="G19">
        <v>6.6537133149446495E-2</v>
      </c>
      <c r="H19">
        <f t="shared" si="0"/>
        <v>8.0237861622794835</v>
      </c>
      <c r="I19">
        <f t="shared" si="1"/>
        <v>4.6802219457320667E-2</v>
      </c>
    </row>
    <row r="20" spans="1:9" x14ac:dyDescent="0.2">
      <c r="A20" s="30" t="s">
        <v>52</v>
      </c>
      <c r="B20" s="30" t="s">
        <v>52</v>
      </c>
      <c r="C20" s="30" t="s">
        <v>65</v>
      </c>
      <c r="D20" s="30" t="s">
        <v>239</v>
      </c>
      <c r="E20" s="30">
        <v>30</v>
      </c>
      <c r="F20">
        <v>11.503907275734999</v>
      </c>
      <c r="G20">
        <v>6.7821726318747305E-2</v>
      </c>
      <c r="H20">
        <f t="shared" si="0"/>
        <v>7.9497483777519991</v>
      </c>
      <c r="I20">
        <f t="shared" si="1"/>
        <v>4.7705802292606854E-2</v>
      </c>
    </row>
    <row r="21" spans="1:9" x14ac:dyDescent="0.2">
      <c r="A21" s="30" t="s">
        <v>52</v>
      </c>
      <c r="B21" s="30" t="s">
        <v>52</v>
      </c>
      <c r="C21" s="30" t="s">
        <v>223</v>
      </c>
      <c r="D21" s="30" t="s">
        <v>241</v>
      </c>
      <c r="E21" s="30">
        <v>30</v>
      </c>
      <c r="F21">
        <v>14.0364182695987</v>
      </c>
      <c r="G21">
        <v>0.20158933988868699</v>
      </c>
      <c r="H21">
        <f t="shared" si="0"/>
        <v>9.731116610835727</v>
      </c>
      <c r="I21">
        <f t="shared" si="1"/>
        <v>0.14179794167770243</v>
      </c>
    </row>
    <row r="22" spans="1:9" x14ac:dyDescent="0.2">
      <c r="A22" s="30" t="s">
        <v>52</v>
      </c>
      <c r="B22" s="30" t="s">
        <v>52</v>
      </c>
      <c r="C22" s="30" t="s">
        <v>223</v>
      </c>
      <c r="D22" s="30" t="s">
        <v>246</v>
      </c>
      <c r="E22" s="30">
        <v>30</v>
      </c>
      <c r="F22">
        <v>14.8586223133453</v>
      </c>
      <c r="G22">
        <v>8.5729177821797897E-2</v>
      </c>
      <c r="H22">
        <f t="shared" si="0"/>
        <v>10.309454935207086</v>
      </c>
      <c r="I22">
        <f t="shared" si="1"/>
        <v>6.0301903679852643E-2</v>
      </c>
    </row>
    <row r="23" spans="1:9" x14ac:dyDescent="0.2">
      <c r="A23" s="30" t="s">
        <v>52</v>
      </c>
      <c r="B23" s="30" t="s">
        <v>52</v>
      </c>
      <c r="C23" s="30" t="s">
        <v>223</v>
      </c>
      <c r="D23" s="30" t="s">
        <v>242</v>
      </c>
      <c r="E23" s="30">
        <v>30</v>
      </c>
      <c r="F23">
        <v>15.579984898341699</v>
      </c>
      <c r="G23">
        <v>0.148427027093227</v>
      </c>
      <c r="H23">
        <f t="shared" si="0"/>
        <v>10.816861377493552</v>
      </c>
      <c r="I23">
        <f t="shared" si="1"/>
        <v>0.10440357085737588</v>
      </c>
    </row>
    <row r="24" spans="1:9" x14ac:dyDescent="0.2">
      <c r="A24" s="30" t="s">
        <v>52</v>
      </c>
      <c r="B24" s="30" t="s">
        <v>221</v>
      </c>
      <c r="C24" s="30" t="s">
        <v>65</v>
      </c>
      <c r="D24" s="30" t="s">
        <v>225</v>
      </c>
      <c r="E24" s="30">
        <v>30</v>
      </c>
      <c r="F24">
        <v>12.0514009848049</v>
      </c>
      <c r="G24">
        <v>0.108429151254978</v>
      </c>
      <c r="H24">
        <f t="shared" ref="H24" si="2">F24*0.7034-0.1421</f>
        <v>8.3348554527117678</v>
      </c>
      <c r="I24">
        <f t="shared" ref="I24" si="3">G24*0.7034</f>
        <v>7.6269064992751531E-2</v>
      </c>
    </row>
    <row r="25" spans="1:9" x14ac:dyDescent="0.2">
      <c r="A25" s="30" t="s">
        <v>52</v>
      </c>
      <c r="B25" s="30" t="s">
        <v>221</v>
      </c>
      <c r="C25" s="30" t="s">
        <v>223</v>
      </c>
      <c r="D25" s="30" t="s">
        <v>226</v>
      </c>
      <c r="E25" s="30">
        <v>30</v>
      </c>
      <c r="F25">
        <v>15.163131028659899</v>
      </c>
      <c r="G25">
        <v>0.148160052355927</v>
      </c>
      <c r="H25">
        <f t="shared" si="0"/>
        <v>10.523646365559374</v>
      </c>
      <c r="I25">
        <f t="shared" si="1"/>
        <v>0.10421578082715906</v>
      </c>
    </row>
    <row r="26" spans="1:9" x14ac:dyDescent="0.2">
      <c r="A26" s="30" t="s">
        <v>75</v>
      </c>
      <c r="B26" s="30" t="s">
        <v>75</v>
      </c>
      <c r="C26" s="30" t="s">
        <v>65</v>
      </c>
      <c r="D26" s="30" t="s">
        <v>233</v>
      </c>
      <c r="E26" s="30">
        <v>42</v>
      </c>
      <c r="F26">
        <v>10.8668359715005</v>
      </c>
      <c r="G26">
        <v>0.14588724794939301</v>
      </c>
      <c r="H26">
        <f t="shared" si="0"/>
        <v>7.5016324223534516</v>
      </c>
      <c r="I26">
        <f t="shared" si="1"/>
        <v>0.10261709020760304</v>
      </c>
    </row>
    <row r="27" spans="1:9" x14ac:dyDescent="0.2">
      <c r="A27" s="30" t="s">
        <v>75</v>
      </c>
      <c r="B27" s="30" t="s">
        <v>75</v>
      </c>
      <c r="C27" s="30" t="s">
        <v>65</v>
      </c>
      <c r="D27" s="30" t="s">
        <v>227</v>
      </c>
      <c r="E27" s="30">
        <v>42</v>
      </c>
      <c r="F27">
        <v>11.139858830425201</v>
      </c>
      <c r="G27">
        <v>0.27265810399940599</v>
      </c>
      <c r="H27">
        <f t="shared" si="0"/>
        <v>7.6936767013210865</v>
      </c>
      <c r="I27">
        <f t="shared" si="1"/>
        <v>0.19178771035318218</v>
      </c>
    </row>
    <row r="28" spans="1:9" x14ac:dyDescent="0.2">
      <c r="A28" s="30" t="s">
        <v>75</v>
      </c>
      <c r="B28" s="30" t="s">
        <v>75</v>
      </c>
      <c r="C28" s="30" t="s">
        <v>65</v>
      </c>
      <c r="D28" s="30" t="s">
        <v>228</v>
      </c>
      <c r="E28" s="30">
        <v>42</v>
      </c>
      <c r="F28">
        <v>10.6323574140203</v>
      </c>
      <c r="G28">
        <v>0.35407455907430302</v>
      </c>
      <c r="H28">
        <f t="shared" si="0"/>
        <v>7.336700205021879</v>
      </c>
      <c r="I28">
        <f t="shared" si="1"/>
        <v>0.24905604485286476</v>
      </c>
    </row>
    <row r="29" spans="1:9" x14ac:dyDescent="0.2">
      <c r="A29" s="30" t="s">
        <v>75</v>
      </c>
      <c r="B29" s="30" t="s">
        <v>75</v>
      </c>
      <c r="C29" s="30" t="s">
        <v>65</v>
      </c>
      <c r="D29" s="30" t="s">
        <v>229</v>
      </c>
      <c r="E29" s="30">
        <v>42</v>
      </c>
      <c r="F29">
        <v>10.3812259043374</v>
      </c>
      <c r="G29">
        <v>0.245172216702706</v>
      </c>
      <c r="H29">
        <f t="shared" si="0"/>
        <v>7.1600543011109279</v>
      </c>
      <c r="I29">
        <f t="shared" si="1"/>
        <v>0.17245413722868341</v>
      </c>
    </row>
    <row r="30" spans="1:9" x14ac:dyDescent="0.2">
      <c r="A30" s="30" t="s">
        <v>75</v>
      </c>
      <c r="B30" s="30" t="s">
        <v>75</v>
      </c>
      <c r="C30" s="30" t="s">
        <v>65</v>
      </c>
      <c r="D30" s="30" t="s">
        <v>234</v>
      </c>
      <c r="E30" s="30">
        <v>42</v>
      </c>
      <c r="F30">
        <v>11.6223456447196</v>
      </c>
      <c r="G30">
        <v>0.17219316124327899</v>
      </c>
      <c r="H30">
        <f t="shared" si="0"/>
        <v>8.0330579264957667</v>
      </c>
      <c r="I30">
        <f t="shared" si="1"/>
        <v>0.12112066961852244</v>
      </c>
    </row>
    <row r="31" spans="1:9" x14ac:dyDescent="0.2">
      <c r="A31" s="30" t="s">
        <v>75</v>
      </c>
      <c r="B31" s="30" t="s">
        <v>75</v>
      </c>
      <c r="C31" s="30" t="s">
        <v>223</v>
      </c>
      <c r="D31" s="30" t="s">
        <v>230</v>
      </c>
      <c r="E31" s="30">
        <v>42</v>
      </c>
      <c r="F31">
        <v>15.555671163218699</v>
      </c>
      <c r="G31">
        <v>0.58996338405899695</v>
      </c>
      <c r="H31">
        <f t="shared" si="0"/>
        <v>10.799759096208033</v>
      </c>
      <c r="I31">
        <f t="shared" si="1"/>
        <v>0.41498024434709846</v>
      </c>
    </row>
    <row r="32" spans="1:9" x14ac:dyDescent="0.2">
      <c r="A32" s="30" t="s">
        <v>75</v>
      </c>
      <c r="B32" s="30" t="s">
        <v>75</v>
      </c>
      <c r="C32" s="30" t="s">
        <v>223</v>
      </c>
      <c r="D32" s="30" t="s">
        <v>231</v>
      </c>
      <c r="E32" s="30">
        <v>42</v>
      </c>
      <c r="F32">
        <v>14.1968820715246</v>
      </c>
      <c r="G32">
        <v>0.271610351629683</v>
      </c>
      <c r="H32">
        <f t="shared" si="0"/>
        <v>9.8439868491104043</v>
      </c>
      <c r="I32">
        <f t="shared" si="1"/>
        <v>0.19105072133631903</v>
      </c>
    </row>
    <row r="33" spans="1:9" x14ac:dyDescent="0.2">
      <c r="A33" s="30" t="s">
        <v>75</v>
      </c>
      <c r="B33" s="30" t="s">
        <v>75</v>
      </c>
      <c r="C33" s="30" t="s">
        <v>223</v>
      </c>
      <c r="D33" s="30" t="s">
        <v>235</v>
      </c>
      <c r="E33" s="30">
        <v>42</v>
      </c>
      <c r="F33">
        <v>16.153406537640201</v>
      </c>
      <c r="G33" t="s">
        <v>159</v>
      </c>
      <c r="H33">
        <f t="shared" si="0"/>
        <v>11.220206158576119</v>
      </c>
      <c r="I33" t="s">
        <v>159</v>
      </c>
    </row>
    <row r="34" spans="1:9" x14ac:dyDescent="0.2">
      <c r="A34" s="30" t="s">
        <v>75</v>
      </c>
      <c r="B34" s="30" t="s">
        <v>75</v>
      </c>
      <c r="C34" s="30" t="s">
        <v>223</v>
      </c>
      <c r="D34" s="30" t="s">
        <v>232</v>
      </c>
      <c r="E34" s="30">
        <v>42</v>
      </c>
      <c r="F34">
        <v>15.3410645852288</v>
      </c>
      <c r="G34">
        <v>0.28753066132868099</v>
      </c>
      <c r="H34">
        <f t="shared" si="0"/>
        <v>10.648804829249938</v>
      </c>
      <c r="I34">
        <f t="shared" si="1"/>
        <v>0.20224906717859423</v>
      </c>
    </row>
    <row r="35" spans="1:9" x14ac:dyDescent="0.2">
      <c r="A35" s="30" t="s">
        <v>75</v>
      </c>
      <c r="B35" s="30" t="s">
        <v>75</v>
      </c>
      <c r="C35" s="30" t="s">
        <v>223</v>
      </c>
      <c r="D35" s="30" t="s">
        <v>236</v>
      </c>
      <c r="E35" s="30">
        <v>42</v>
      </c>
      <c r="F35">
        <v>13.6345225677335</v>
      </c>
      <c r="G35">
        <v>0.41223637707237898</v>
      </c>
      <c r="H35">
        <f t="shared" si="0"/>
        <v>9.4484231741437448</v>
      </c>
      <c r="I35">
        <f t="shared" si="1"/>
        <v>0.28996706763271141</v>
      </c>
    </row>
    <row r="36" spans="1:9" x14ac:dyDescent="0.2">
      <c r="A36" s="30" t="s">
        <v>75</v>
      </c>
      <c r="B36" s="30" t="s">
        <v>221</v>
      </c>
      <c r="C36" s="30" t="s">
        <v>65</v>
      </c>
      <c r="D36" s="30" t="s">
        <v>222</v>
      </c>
      <c r="E36" s="30">
        <v>42</v>
      </c>
      <c r="F36" t="s">
        <v>159</v>
      </c>
      <c r="G36" t="s">
        <v>159</v>
      </c>
      <c r="H36" t="s">
        <v>159</v>
      </c>
      <c r="I36" t="s">
        <v>159</v>
      </c>
    </row>
    <row r="37" spans="1:9" x14ac:dyDescent="0.2">
      <c r="A37" s="30" t="s">
        <v>75</v>
      </c>
      <c r="B37" s="30" t="s">
        <v>221</v>
      </c>
      <c r="C37" s="30" t="s">
        <v>223</v>
      </c>
      <c r="D37" s="30" t="s">
        <v>224</v>
      </c>
      <c r="E37" s="30">
        <v>42</v>
      </c>
      <c r="F37">
        <v>14.248750861213267</v>
      </c>
      <c r="G37">
        <v>0.18925638099460898</v>
      </c>
      <c r="H37">
        <f t="shared" si="0"/>
        <v>9.8804713557774129</v>
      </c>
      <c r="I37">
        <f t="shared" si="1"/>
        <v>0.13312293839160796</v>
      </c>
    </row>
    <row r="38" spans="1:9" x14ac:dyDescent="0.2">
      <c r="A38" s="30" t="s">
        <v>52</v>
      </c>
      <c r="B38" s="30" t="s">
        <v>52</v>
      </c>
      <c r="C38" s="30" t="s">
        <v>65</v>
      </c>
      <c r="D38" s="30" t="s">
        <v>237</v>
      </c>
      <c r="E38" s="30">
        <v>42</v>
      </c>
      <c r="F38">
        <v>11.8819329041612</v>
      </c>
      <c r="G38">
        <v>5.10199719762683E-2</v>
      </c>
      <c r="H38">
        <f t="shared" si="0"/>
        <v>8.2156516047869896</v>
      </c>
      <c r="I38">
        <f t="shared" si="1"/>
        <v>3.5887448288107124E-2</v>
      </c>
    </row>
    <row r="39" spans="1:9" x14ac:dyDescent="0.2">
      <c r="A39" s="30" t="s">
        <v>52</v>
      </c>
      <c r="B39" s="30" t="s">
        <v>52</v>
      </c>
      <c r="C39" s="30" t="s">
        <v>65</v>
      </c>
      <c r="D39" s="30" t="s">
        <v>238</v>
      </c>
      <c r="E39" s="30">
        <v>42</v>
      </c>
      <c r="F39">
        <v>11.6564317141668</v>
      </c>
      <c r="G39">
        <v>7.24268377731591E-2</v>
      </c>
      <c r="H39">
        <f t="shared" si="0"/>
        <v>8.0570340677449277</v>
      </c>
      <c r="I39">
        <f t="shared" si="1"/>
        <v>5.0945037689640114E-2</v>
      </c>
    </row>
    <row r="40" spans="1:9" x14ac:dyDescent="0.2">
      <c r="A40" s="30" t="s">
        <v>52</v>
      </c>
      <c r="B40" s="30" t="s">
        <v>52</v>
      </c>
      <c r="C40" s="30" t="s">
        <v>65</v>
      </c>
      <c r="D40" s="30" t="s">
        <v>239</v>
      </c>
      <c r="E40" s="30">
        <v>42</v>
      </c>
      <c r="F40">
        <v>12.111129788784201</v>
      </c>
      <c r="G40">
        <v>5.3758403819898298E-2</v>
      </c>
      <c r="H40">
        <f t="shared" si="0"/>
        <v>8.3768686934308079</v>
      </c>
      <c r="I40">
        <f t="shared" si="1"/>
        <v>3.7813661246916465E-2</v>
      </c>
    </row>
    <row r="41" spans="1:9" x14ac:dyDescent="0.2">
      <c r="A41" s="30" t="s">
        <v>52</v>
      </c>
      <c r="B41" s="30" t="s">
        <v>52</v>
      </c>
      <c r="C41" s="30" t="s">
        <v>65</v>
      </c>
      <c r="D41" s="30" t="s">
        <v>240</v>
      </c>
      <c r="E41" s="30">
        <v>42</v>
      </c>
      <c r="F41">
        <v>11.779276002204901</v>
      </c>
      <c r="G41">
        <v>4.7617032678725399E-2</v>
      </c>
      <c r="H41">
        <f t="shared" si="0"/>
        <v>8.1434427399509275</v>
      </c>
      <c r="I41">
        <f t="shared" si="1"/>
        <v>3.3493820786215447E-2</v>
      </c>
    </row>
    <row r="42" spans="1:9" x14ac:dyDescent="0.2">
      <c r="A42" s="30" t="s">
        <v>52</v>
      </c>
      <c r="B42" s="30" t="s">
        <v>52</v>
      </c>
      <c r="C42" s="30" t="s">
        <v>65</v>
      </c>
      <c r="D42" s="30" t="s">
        <v>245</v>
      </c>
      <c r="E42" s="30">
        <v>42</v>
      </c>
      <c r="F42">
        <v>11.495102356581</v>
      </c>
      <c r="G42">
        <v>6.3347697473191106E-2</v>
      </c>
      <c r="H42">
        <f t="shared" si="0"/>
        <v>7.9435549976190751</v>
      </c>
      <c r="I42">
        <f t="shared" si="1"/>
        <v>4.4558770402642625E-2</v>
      </c>
    </row>
    <row r="43" spans="1:9" x14ac:dyDescent="0.2">
      <c r="A43" s="30" t="s">
        <v>52</v>
      </c>
      <c r="B43" s="30" t="s">
        <v>52</v>
      </c>
      <c r="C43" s="30" t="s">
        <v>223</v>
      </c>
      <c r="D43" s="30" t="s">
        <v>241</v>
      </c>
      <c r="E43" s="30">
        <v>42</v>
      </c>
      <c r="F43">
        <v>14.368520389778601</v>
      </c>
      <c r="G43">
        <v>0.19627284545142701</v>
      </c>
      <c r="H43">
        <f t="shared" si="0"/>
        <v>9.9647172421702681</v>
      </c>
      <c r="I43">
        <f t="shared" si="1"/>
        <v>0.13805831949053377</v>
      </c>
    </row>
    <row r="44" spans="1:9" x14ac:dyDescent="0.2">
      <c r="A44" s="30" t="s">
        <v>52</v>
      </c>
      <c r="B44" s="30" t="s">
        <v>52</v>
      </c>
      <c r="C44" s="30" t="s">
        <v>223</v>
      </c>
      <c r="D44" s="30" t="s">
        <v>246</v>
      </c>
      <c r="E44" s="30">
        <v>42</v>
      </c>
      <c r="F44">
        <v>14.339005059619399</v>
      </c>
      <c r="G44">
        <v>0.18560583815862899</v>
      </c>
      <c r="H44">
        <f t="shared" si="0"/>
        <v>9.9439561589362864</v>
      </c>
      <c r="I44">
        <f t="shared" si="1"/>
        <v>0.13055514656077963</v>
      </c>
    </row>
    <row r="45" spans="1:9" x14ac:dyDescent="0.2">
      <c r="A45" s="30" t="s">
        <v>52</v>
      </c>
      <c r="B45" s="30" t="s">
        <v>52</v>
      </c>
      <c r="C45" s="30" t="s">
        <v>223</v>
      </c>
      <c r="D45" s="30" t="s">
        <v>242</v>
      </c>
      <c r="E45" s="30">
        <v>42</v>
      </c>
      <c r="F45">
        <v>14.325137117289101</v>
      </c>
      <c r="G45">
        <v>0.17317678581642801</v>
      </c>
      <c r="H45">
        <f t="shared" si="0"/>
        <v>9.9342014483011543</v>
      </c>
      <c r="I45">
        <f t="shared" si="1"/>
        <v>0.12181255114327547</v>
      </c>
    </row>
    <row r="46" spans="1:9" x14ac:dyDescent="0.2">
      <c r="A46" s="30" t="s">
        <v>52</v>
      </c>
      <c r="B46" s="30" t="s">
        <v>52</v>
      </c>
      <c r="C46" s="30" t="s">
        <v>223</v>
      </c>
      <c r="D46" s="30" t="s">
        <v>243</v>
      </c>
      <c r="E46" s="30">
        <v>42</v>
      </c>
      <c r="F46">
        <v>14.221581403179201</v>
      </c>
      <c r="G46">
        <v>0.18864349547908299</v>
      </c>
      <c r="H46">
        <f t="shared" si="0"/>
        <v>9.8613603589962509</v>
      </c>
      <c r="I46">
        <f t="shared" si="1"/>
        <v>0.13269183471998697</v>
      </c>
    </row>
    <row r="47" spans="1:9" x14ac:dyDescent="0.2">
      <c r="A47" s="30" t="s">
        <v>52</v>
      </c>
      <c r="B47" s="30" t="s">
        <v>52</v>
      </c>
      <c r="C47" s="30" t="s">
        <v>223</v>
      </c>
      <c r="D47" s="30" t="s">
        <v>244</v>
      </c>
      <c r="E47" s="30">
        <v>42</v>
      </c>
      <c r="F47">
        <v>14.3161836676957</v>
      </c>
      <c r="G47">
        <v>0.195769562107482</v>
      </c>
      <c r="H47">
        <f t="shared" si="0"/>
        <v>9.9279035918571559</v>
      </c>
      <c r="I47">
        <f t="shared" si="1"/>
        <v>0.13770430998640285</v>
      </c>
    </row>
    <row r="48" spans="1:9" x14ac:dyDescent="0.2">
      <c r="A48" s="30" t="s">
        <v>52</v>
      </c>
      <c r="B48" s="30" t="s">
        <v>221</v>
      </c>
      <c r="C48" s="30" t="s">
        <v>65</v>
      </c>
      <c r="D48" s="30" t="s">
        <v>225</v>
      </c>
      <c r="E48" s="30">
        <v>42</v>
      </c>
      <c r="F48">
        <v>13.145038903020501</v>
      </c>
      <c r="G48">
        <v>5.6155326137436297E-2</v>
      </c>
      <c r="H48">
        <f t="shared" si="0"/>
        <v>9.104120364384622</v>
      </c>
      <c r="I48">
        <f t="shared" si="1"/>
        <v>3.9499656405072692E-2</v>
      </c>
    </row>
    <row r="49" spans="1:9" x14ac:dyDescent="0.2">
      <c r="A49" s="30" t="s">
        <v>52</v>
      </c>
      <c r="B49" s="30" t="s">
        <v>221</v>
      </c>
      <c r="C49" s="30" t="s">
        <v>223</v>
      </c>
      <c r="D49" s="30" t="s">
        <v>226</v>
      </c>
      <c r="E49" s="30">
        <v>42</v>
      </c>
      <c r="F49">
        <v>14.8593412608019</v>
      </c>
      <c r="G49">
        <v>8.9016567579546901E-2</v>
      </c>
      <c r="H49">
        <f t="shared" si="0"/>
        <v>10.309960642848058</v>
      </c>
      <c r="I49">
        <f t="shared" si="1"/>
        <v>6.2614253635453296E-2</v>
      </c>
    </row>
    <row r="50" spans="1:9" x14ac:dyDescent="0.2">
      <c r="A50" s="30" t="s">
        <v>52</v>
      </c>
      <c r="B50" s="30" t="s">
        <v>221</v>
      </c>
      <c r="C50" s="30" t="s">
        <v>223</v>
      </c>
      <c r="D50" s="30" t="s">
        <v>226</v>
      </c>
      <c r="E50" s="30">
        <v>45</v>
      </c>
      <c r="F50">
        <v>13.610262118463501</v>
      </c>
      <c r="G50">
        <v>6.2889472869675098E-2</v>
      </c>
      <c r="H50">
        <f t="shared" si="0"/>
        <v>9.4313583741272282</v>
      </c>
      <c r="I50">
        <f t="shared" si="1"/>
        <v>4.4236455216529462E-2</v>
      </c>
    </row>
    <row r="51" spans="1:9" x14ac:dyDescent="0.2">
      <c r="A51" s="30" t="s">
        <v>52</v>
      </c>
      <c r="B51" s="30" t="s">
        <v>52</v>
      </c>
      <c r="C51" s="30" t="s">
        <v>223</v>
      </c>
      <c r="D51" s="30" t="s">
        <v>241</v>
      </c>
      <c r="E51" s="30">
        <v>45</v>
      </c>
      <c r="F51">
        <v>14.096556472116299</v>
      </c>
      <c r="G51">
        <v>0.123530916585134</v>
      </c>
      <c r="H51">
        <f t="shared" si="0"/>
        <v>9.7734178224866071</v>
      </c>
      <c r="I51">
        <f t="shared" si="1"/>
        <v>8.6891646725983263E-2</v>
      </c>
    </row>
    <row r="52" spans="1:9" x14ac:dyDescent="0.2">
      <c r="A52" s="30" t="s">
        <v>52</v>
      </c>
      <c r="B52" s="30" t="s">
        <v>52</v>
      </c>
      <c r="C52" s="30" t="s">
        <v>223</v>
      </c>
      <c r="D52" s="30" t="s">
        <v>246</v>
      </c>
      <c r="E52" s="30">
        <v>45</v>
      </c>
      <c r="F52">
        <v>14.519607705056799</v>
      </c>
      <c r="G52">
        <v>0.16452294244604901</v>
      </c>
      <c r="H52">
        <f t="shared" si="0"/>
        <v>10.070992059736954</v>
      </c>
      <c r="I52">
        <f t="shared" si="1"/>
        <v>0.11572543771655087</v>
      </c>
    </row>
    <row r="53" spans="1:9" x14ac:dyDescent="0.2">
      <c r="A53" s="30" t="s">
        <v>52</v>
      </c>
      <c r="B53" s="30" t="s">
        <v>52</v>
      </c>
      <c r="C53" s="30" t="s">
        <v>223</v>
      </c>
      <c r="D53" s="30" t="s">
        <v>242</v>
      </c>
      <c r="E53" s="30">
        <v>45</v>
      </c>
      <c r="F53">
        <v>15.019419896581301</v>
      </c>
      <c r="G53">
        <v>0.16873831604057399</v>
      </c>
      <c r="H53">
        <f t="shared" si="0"/>
        <v>10.422559955255288</v>
      </c>
      <c r="I53">
        <f t="shared" si="1"/>
        <v>0.11869053150293975</v>
      </c>
    </row>
    <row r="54" spans="1:9" x14ac:dyDescent="0.2">
      <c r="A54" s="30" t="s">
        <v>52</v>
      </c>
      <c r="B54" s="30" t="s">
        <v>52</v>
      </c>
      <c r="C54" s="30" t="s">
        <v>223</v>
      </c>
      <c r="D54" s="30" t="s">
        <v>243</v>
      </c>
      <c r="E54" s="30">
        <v>45</v>
      </c>
      <c r="F54">
        <v>14.1462843018759</v>
      </c>
      <c r="G54">
        <v>0.27576090652607999</v>
      </c>
      <c r="H54">
        <f t="shared" si="0"/>
        <v>9.8083963779395091</v>
      </c>
      <c r="I54">
        <f t="shared" si="1"/>
        <v>0.19397022165044467</v>
      </c>
    </row>
    <row r="55" spans="1:9" x14ac:dyDescent="0.2">
      <c r="A55" s="30" t="s">
        <v>52</v>
      </c>
      <c r="B55" s="30" t="s">
        <v>52</v>
      </c>
      <c r="C55" s="30" t="s">
        <v>223</v>
      </c>
      <c r="D55" s="30" t="s">
        <v>244</v>
      </c>
      <c r="E55" s="30">
        <v>45</v>
      </c>
      <c r="F55">
        <v>13.7137320634098</v>
      </c>
      <c r="G55">
        <v>0.18707707191485701</v>
      </c>
      <c r="H55">
        <f t="shared" si="0"/>
        <v>9.5041391334024539</v>
      </c>
      <c r="I55">
        <f t="shared" si="1"/>
        <v>0.13159001238491042</v>
      </c>
    </row>
    <row r="56" spans="1:9" x14ac:dyDescent="0.2">
      <c r="A56" s="30" t="s">
        <v>75</v>
      </c>
      <c r="B56" s="30" t="s">
        <v>75</v>
      </c>
      <c r="C56" s="30" t="s">
        <v>223</v>
      </c>
      <c r="D56" s="30" t="s">
        <v>230</v>
      </c>
      <c r="E56" s="30">
        <v>45</v>
      </c>
      <c r="F56">
        <v>13.1010827680432</v>
      </c>
      <c r="G56">
        <v>0.311344955307094</v>
      </c>
      <c r="H56">
        <f t="shared" si="0"/>
        <v>9.0732016190415887</v>
      </c>
      <c r="I56">
        <f t="shared" si="1"/>
        <v>0.21900004156300992</v>
      </c>
    </row>
    <row r="57" spans="1:9" x14ac:dyDescent="0.2">
      <c r="A57" s="30" t="s">
        <v>75</v>
      </c>
      <c r="B57" s="30" t="s">
        <v>75</v>
      </c>
      <c r="C57" s="30" t="s">
        <v>223</v>
      </c>
      <c r="D57" s="30" t="s">
        <v>231</v>
      </c>
      <c r="E57" s="30">
        <v>45</v>
      </c>
      <c r="F57">
        <v>12.9136638218271</v>
      </c>
      <c r="G57">
        <v>0.20699267903420801</v>
      </c>
      <c r="H57">
        <f t="shared" si="0"/>
        <v>8.9413711322731828</v>
      </c>
      <c r="I57">
        <f t="shared" si="1"/>
        <v>0.14559865043266193</v>
      </c>
    </row>
    <row r="58" spans="1:9" x14ac:dyDescent="0.2">
      <c r="A58" s="30" t="s">
        <v>75</v>
      </c>
      <c r="B58" s="30" t="s">
        <v>75</v>
      </c>
      <c r="C58" s="30" t="s">
        <v>223</v>
      </c>
      <c r="D58" s="30" t="s">
        <v>235</v>
      </c>
      <c r="E58" s="30">
        <v>45</v>
      </c>
      <c r="F58">
        <v>13.2710902274608</v>
      </c>
      <c r="G58">
        <v>0.25936036363228698</v>
      </c>
      <c r="H58">
        <f t="shared" si="0"/>
        <v>9.192784865995927</v>
      </c>
      <c r="I58">
        <f t="shared" si="1"/>
        <v>0.18243407977895068</v>
      </c>
    </row>
    <row r="59" spans="1:9" x14ac:dyDescent="0.2">
      <c r="A59" s="30" t="s">
        <v>75</v>
      </c>
      <c r="B59" s="30" t="s">
        <v>75</v>
      </c>
      <c r="C59" s="30" t="s">
        <v>223</v>
      </c>
      <c r="D59" s="30" t="s">
        <v>232</v>
      </c>
      <c r="E59" s="30">
        <v>45</v>
      </c>
      <c r="F59">
        <v>11.9791053352543</v>
      </c>
      <c r="G59">
        <v>0.167037306440321</v>
      </c>
      <c r="H59">
        <f t="shared" si="0"/>
        <v>8.2840026928178752</v>
      </c>
      <c r="I59">
        <f t="shared" si="1"/>
        <v>0.1174940413501218</v>
      </c>
    </row>
    <row r="60" spans="1:9" x14ac:dyDescent="0.2">
      <c r="A60" s="30" t="s">
        <v>75</v>
      </c>
      <c r="B60" s="30" t="s">
        <v>75</v>
      </c>
      <c r="C60" s="30" t="s">
        <v>223</v>
      </c>
      <c r="D60" s="30" t="s">
        <v>236</v>
      </c>
      <c r="E60" s="30">
        <v>45</v>
      </c>
      <c r="F60">
        <v>12.1641367458967</v>
      </c>
      <c r="G60">
        <v>0.432008427389794</v>
      </c>
      <c r="H60">
        <f t="shared" si="0"/>
        <v>8.4141537870637393</v>
      </c>
      <c r="I60">
        <f t="shared" si="1"/>
        <v>0.30387472782598113</v>
      </c>
    </row>
    <row r="61" spans="1:9" x14ac:dyDescent="0.2">
      <c r="A61" s="30" t="s">
        <v>75</v>
      </c>
      <c r="B61" s="30" t="s">
        <v>221</v>
      </c>
      <c r="C61" s="30" t="s">
        <v>223</v>
      </c>
      <c r="D61" s="30" t="s">
        <v>224</v>
      </c>
      <c r="E61" s="30">
        <v>45</v>
      </c>
      <c r="F61">
        <v>12.687251853337999</v>
      </c>
      <c r="G61">
        <v>0.14366275027567232</v>
      </c>
      <c r="H61">
        <f t="shared" si="0"/>
        <v>8.7821129536379505</v>
      </c>
      <c r="I61">
        <f t="shared" si="1"/>
        <v>0.10105237854390792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5E3E-EE99-FC4D-9E31-9185425A0962}">
  <dimension ref="A1:AF70"/>
  <sheetViews>
    <sheetView topLeftCell="A41" workbookViewId="0">
      <selection activeCell="G37" sqref="G37"/>
    </sheetView>
  </sheetViews>
  <sheetFormatPr baseColWidth="10" defaultRowHeight="16" x14ac:dyDescent="0.2"/>
  <sheetData>
    <row r="1" spans="1:32" x14ac:dyDescent="0.2">
      <c r="A1" s="20"/>
      <c r="B1" s="21">
        <v>0</v>
      </c>
      <c r="C1" s="21">
        <v>0.33</v>
      </c>
      <c r="D1" s="21">
        <v>1</v>
      </c>
      <c r="E1" s="21">
        <v>3</v>
      </c>
      <c r="F1" s="21" t="s">
        <v>38</v>
      </c>
      <c r="G1" s="21">
        <v>0</v>
      </c>
      <c r="H1" s="21">
        <v>0.33</v>
      </c>
      <c r="I1" s="21">
        <v>1</v>
      </c>
      <c r="J1" s="22">
        <v>3</v>
      </c>
      <c r="U1" s="20" t="s">
        <v>192</v>
      </c>
      <c r="V1" s="21" t="s">
        <v>199</v>
      </c>
      <c r="W1" s="21" t="s">
        <v>200</v>
      </c>
      <c r="X1" s="21" t="s">
        <v>201</v>
      </c>
      <c r="Y1" s="21" t="s">
        <v>193</v>
      </c>
      <c r="Z1" s="21" t="s">
        <v>199</v>
      </c>
      <c r="AA1" s="21" t="s">
        <v>200</v>
      </c>
      <c r="AB1" s="21" t="s">
        <v>201</v>
      </c>
      <c r="AC1" s="21" t="s">
        <v>194</v>
      </c>
      <c r="AD1" s="21" t="s">
        <v>199</v>
      </c>
      <c r="AE1" s="21" t="s">
        <v>200</v>
      </c>
      <c r="AF1" s="22" t="s">
        <v>201</v>
      </c>
    </row>
    <row r="2" spans="1:32" x14ac:dyDescent="0.2">
      <c r="A2" s="23" t="s">
        <v>175</v>
      </c>
      <c r="B2">
        <v>0.61</v>
      </c>
      <c r="C2">
        <v>0.56000000000000005</v>
      </c>
      <c r="D2">
        <v>0.46333333333333332</v>
      </c>
      <c r="E2">
        <v>0.11333333333333334</v>
      </c>
      <c r="H2">
        <v>1.9999999999999962E-2</v>
      </c>
      <c r="I2">
        <v>2.0816659994661313E-2</v>
      </c>
      <c r="J2" s="24">
        <v>5.5075705472860982E-2</v>
      </c>
      <c r="U2" s="23">
        <v>-0.15031107244940142</v>
      </c>
      <c r="V2" t="s">
        <v>160</v>
      </c>
      <c r="W2">
        <v>0</v>
      </c>
      <c r="X2">
        <v>0.61</v>
      </c>
      <c r="Y2">
        <v>-0.16894253190089722</v>
      </c>
      <c r="Z2" t="s">
        <v>160</v>
      </c>
      <c r="AA2">
        <v>0</v>
      </c>
      <c r="AB2">
        <v>0.61</v>
      </c>
      <c r="AC2">
        <v>-0.17523116461433555</v>
      </c>
      <c r="AD2" t="s">
        <v>160</v>
      </c>
      <c r="AE2">
        <v>0</v>
      </c>
      <c r="AF2" s="24">
        <v>0.61</v>
      </c>
    </row>
    <row r="3" spans="1:32" x14ac:dyDescent="0.2">
      <c r="A3" s="23" t="s">
        <v>176</v>
      </c>
      <c r="B3">
        <v>0.61</v>
      </c>
      <c r="C3">
        <v>0.55666666666666664</v>
      </c>
      <c r="D3">
        <v>0.50666666666666671</v>
      </c>
      <c r="E3">
        <v>0.27</v>
      </c>
      <c r="H3">
        <v>1.1547005383792462E-2</v>
      </c>
      <c r="I3">
        <v>5.7735026918962623E-3</v>
      </c>
      <c r="J3" s="24">
        <v>5.2915026221291649E-2</v>
      </c>
      <c r="U3" s="23"/>
      <c r="V3" t="s">
        <v>160</v>
      </c>
      <c r="W3">
        <v>0.32944444444444443</v>
      </c>
      <c r="X3">
        <v>0.53</v>
      </c>
      <c r="Z3" t="s">
        <v>160</v>
      </c>
      <c r="AA3">
        <v>0.2919444444444439</v>
      </c>
      <c r="AB3">
        <v>0.52</v>
      </c>
      <c r="AD3" t="s">
        <v>160</v>
      </c>
      <c r="AE3">
        <v>0.34083333333333332</v>
      </c>
      <c r="AF3" s="24">
        <v>0.55000000000000004</v>
      </c>
    </row>
    <row r="4" spans="1:32" x14ac:dyDescent="0.2">
      <c r="A4" s="23" t="s">
        <v>177</v>
      </c>
      <c r="B4">
        <v>0.61</v>
      </c>
      <c r="C4">
        <v>0.56333333333333335</v>
      </c>
      <c r="D4">
        <v>0.52</v>
      </c>
      <c r="E4">
        <v>0.28666666666666668</v>
      </c>
      <c r="H4">
        <v>5.7735026918961981E-3</v>
      </c>
      <c r="I4">
        <v>2.0000000000000018E-2</v>
      </c>
      <c r="J4" s="24">
        <v>9.0737717258774789E-2</v>
      </c>
      <c r="U4" s="23"/>
      <c r="V4" t="s">
        <v>160</v>
      </c>
      <c r="W4">
        <v>0.97250000000000014</v>
      </c>
      <c r="X4">
        <v>0.37</v>
      </c>
      <c r="Z4" t="s">
        <v>160</v>
      </c>
      <c r="AA4">
        <v>1.0380555555555562</v>
      </c>
      <c r="AB4">
        <v>0.41</v>
      </c>
      <c r="AD4" t="s">
        <v>160</v>
      </c>
      <c r="AE4">
        <v>1.020833333333333</v>
      </c>
      <c r="AF4" s="24">
        <v>0.41</v>
      </c>
    </row>
    <row r="5" spans="1:32" x14ac:dyDescent="0.2">
      <c r="A5" s="23" t="s">
        <v>178</v>
      </c>
      <c r="B5">
        <v>0.61</v>
      </c>
      <c r="C5">
        <v>0.52333333333333332</v>
      </c>
      <c r="D5">
        <v>0.36333333333333334</v>
      </c>
      <c r="E5">
        <v>9.3333333333333338E-2</v>
      </c>
      <c r="H5">
        <v>2.0816659994661344E-2</v>
      </c>
      <c r="I5">
        <v>2.0816659994661313E-2</v>
      </c>
      <c r="J5" s="24">
        <v>5.8594652770823138E-2</v>
      </c>
      <c r="U5" s="23"/>
      <c r="V5" t="s">
        <v>160</v>
      </c>
      <c r="W5">
        <v>2.8891666666666653</v>
      </c>
      <c r="X5">
        <v>0.16</v>
      </c>
      <c r="Z5" t="s">
        <v>160</v>
      </c>
      <c r="AA5">
        <v>3.0341666666666667</v>
      </c>
      <c r="AB5">
        <v>0.08</v>
      </c>
      <c r="AD5" t="s">
        <v>160</v>
      </c>
      <c r="AE5">
        <v>3.1319444444444429</v>
      </c>
      <c r="AF5">
        <v>0.06</v>
      </c>
    </row>
    <row r="6" spans="1:32" x14ac:dyDescent="0.2">
      <c r="A6" s="23" t="s">
        <v>179</v>
      </c>
      <c r="B6">
        <v>0.61</v>
      </c>
      <c r="C6">
        <v>0.53333333333333333</v>
      </c>
      <c r="D6">
        <v>0.35666666666666669</v>
      </c>
      <c r="E6">
        <v>7.6666666666666675E-2</v>
      </c>
      <c r="H6">
        <v>1.527525231651948E-2</v>
      </c>
      <c r="I6">
        <v>4.6188021535169918E-2</v>
      </c>
      <c r="J6" s="24">
        <v>3.5118845842842458E-2</v>
      </c>
      <c r="U6" s="23">
        <v>-0.17870383211497839</v>
      </c>
      <c r="V6" t="s">
        <v>161</v>
      </c>
      <c r="W6">
        <v>0</v>
      </c>
      <c r="X6">
        <v>0.61</v>
      </c>
      <c r="Y6">
        <v>-0.16149544504833549</v>
      </c>
      <c r="Z6" t="s">
        <v>161</v>
      </c>
      <c r="AA6">
        <v>0</v>
      </c>
      <c r="AB6">
        <v>0.61</v>
      </c>
      <c r="AC6">
        <v>-0.16982524055269754</v>
      </c>
      <c r="AD6" t="s">
        <v>161</v>
      </c>
      <c r="AE6">
        <v>0</v>
      </c>
      <c r="AF6" s="24">
        <v>0.61</v>
      </c>
    </row>
    <row r="7" spans="1:32" ht="17" thickBot="1" x14ac:dyDescent="0.25">
      <c r="A7" s="25" t="s">
        <v>180</v>
      </c>
      <c r="B7">
        <v>0.61</v>
      </c>
      <c r="C7">
        <v>0.54333333333333333</v>
      </c>
      <c r="D7">
        <v>0.40333333333333332</v>
      </c>
      <c r="E7">
        <v>0.06</v>
      </c>
      <c r="H7">
        <v>5.7735026918962623E-3</v>
      </c>
      <c r="I7">
        <v>1.1547005383792493E-2</v>
      </c>
      <c r="J7" s="24">
        <v>1.0000000000000056E-2</v>
      </c>
      <c r="U7" s="23"/>
      <c r="V7" t="s">
        <v>161</v>
      </c>
      <c r="W7">
        <v>0.35055555555555529</v>
      </c>
      <c r="X7">
        <v>0.5</v>
      </c>
      <c r="Z7" t="s">
        <v>161</v>
      </c>
      <c r="AA7">
        <v>0.31222222222222129</v>
      </c>
      <c r="AB7">
        <v>0.55000000000000004</v>
      </c>
      <c r="AD7" t="s">
        <v>161</v>
      </c>
      <c r="AE7">
        <v>0.36444444444444457</v>
      </c>
      <c r="AF7" s="24">
        <v>0.54</v>
      </c>
    </row>
    <row r="8" spans="1:32" x14ac:dyDescent="0.2">
      <c r="A8" s="23"/>
      <c r="J8" s="24"/>
      <c r="U8" s="23"/>
      <c r="V8" t="s">
        <v>161</v>
      </c>
      <c r="W8">
        <v>0.99055555555555408</v>
      </c>
      <c r="X8">
        <v>0.38</v>
      </c>
      <c r="Z8" t="s">
        <v>161</v>
      </c>
      <c r="AA8">
        <v>1.0552777777777766</v>
      </c>
      <c r="AB8">
        <v>0.33</v>
      </c>
      <c r="AD8" t="s">
        <v>161</v>
      </c>
      <c r="AE8">
        <v>1.0444444444444443</v>
      </c>
      <c r="AF8" s="24">
        <v>0.39</v>
      </c>
    </row>
    <row r="9" spans="1:32" x14ac:dyDescent="0.2">
      <c r="A9" s="23" t="s">
        <v>181</v>
      </c>
      <c r="B9">
        <v>0.61</v>
      </c>
      <c r="C9">
        <v>0.52</v>
      </c>
      <c r="D9">
        <v>0.51</v>
      </c>
      <c r="E9">
        <v>0.38</v>
      </c>
      <c r="F9" s="26" t="s">
        <v>182</v>
      </c>
      <c r="J9" s="24"/>
      <c r="U9" s="23"/>
      <c r="V9" t="s">
        <v>161</v>
      </c>
      <c r="W9">
        <v>2.9080555555555554</v>
      </c>
      <c r="X9">
        <v>7.0000000000000007E-2</v>
      </c>
      <c r="Z9" t="s">
        <v>161</v>
      </c>
      <c r="AA9">
        <v>3.0544444444444441</v>
      </c>
      <c r="AB9">
        <v>0.11</v>
      </c>
      <c r="AD9" t="s">
        <v>161</v>
      </c>
      <c r="AE9">
        <v>3.1494444444444429</v>
      </c>
      <c r="AF9">
        <v>7.0000000000000007E-2</v>
      </c>
    </row>
    <row r="10" spans="1:32" x14ac:dyDescent="0.2">
      <c r="A10" s="23" t="s">
        <v>183</v>
      </c>
      <c r="B10">
        <v>0.61</v>
      </c>
      <c r="C10">
        <v>0.53</v>
      </c>
      <c r="D10">
        <v>0.54</v>
      </c>
      <c r="E10">
        <v>0.37</v>
      </c>
      <c r="F10" s="27" t="s">
        <v>184</v>
      </c>
      <c r="J10" s="24"/>
      <c r="U10" s="23">
        <v>-0.18974577954089358</v>
      </c>
      <c r="V10" t="s">
        <v>162</v>
      </c>
      <c r="W10">
        <v>0</v>
      </c>
      <c r="X10">
        <v>0.61</v>
      </c>
      <c r="Y10">
        <v>-0.18226426863499329</v>
      </c>
      <c r="Z10" t="s">
        <v>162</v>
      </c>
      <c r="AA10">
        <v>0</v>
      </c>
      <c r="AB10">
        <v>0.61</v>
      </c>
      <c r="AC10">
        <v>-0.17635262508110197</v>
      </c>
      <c r="AD10" t="s">
        <v>162</v>
      </c>
      <c r="AE10">
        <v>0</v>
      </c>
      <c r="AF10" s="24">
        <v>0.61</v>
      </c>
    </row>
    <row r="11" spans="1:32" x14ac:dyDescent="0.2">
      <c r="A11" s="23" t="s">
        <v>185</v>
      </c>
      <c r="B11">
        <v>0.61</v>
      </c>
      <c r="C11">
        <v>0.56000000000000005</v>
      </c>
      <c r="D11">
        <v>0.53</v>
      </c>
      <c r="E11">
        <v>0.37</v>
      </c>
      <c r="J11" s="24"/>
      <c r="U11" s="23"/>
      <c r="V11" t="s">
        <v>162</v>
      </c>
      <c r="W11">
        <v>0.36861111111111189</v>
      </c>
      <c r="X11">
        <v>0.54</v>
      </c>
      <c r="Z11" t="s">
        <v>162</v>
      </c>
      <c r="AA11">
        <v>0.33083333333333442</v>
      </c>
      <c r="AB11">
        <v>0.53</v>
      </c>
      <c r="AD11" t="s">
        <v>162</v>
      </c>
      <c r="AE11">
        <v>0.38472222222222197</v>
      </c>
      <c r="AF11" s="24">
        <v>0.54</v>
      </c>
    </row>
    <row r="12" spans="1:32" x14ac:dyDescent="0.2">
      <c r="A12" s="23" t="s">
        <v>186</v>
      </c>
      <c r="B12">
        <v>0.61</v>
      </c>
      <c r="C12">
        <v>0.42</v>
      </c>
      <c r="D12">
        <v>0.38</v>
      </c>
      <c r="E12">
        <v>0.16</v>
      </c>
      <c r="J12" s="24"/>
      <c r="U12" s="23"/>
      <c r="V12" t="s">
        <v>162</v>
      </c>
      <c r="W12">
        <v>1.0094444444444441</v>
      </c>
      <c r="X12">
        <v>0.34</v>
      </c>
      <c r="Z12" t="s">
        <v>162</v>
      </c>
      <c r="AA12">
        <v>1.0730555555555563</v>
      </c>
      <c r="AB12">
        <v>0.33</v>
      </c>
      <c r="AD12" t="s">
        <v>162</v>
      </c>
      <c r="AE12">
        <v>1.0658333333333321</v>
      </c>
      <c r="AF12" s="24">
        <v>0.41</v>
      </c>
    </row>
    <row r="13" spans="1:32" x14ac:dyDescent="0.2">
      <c r="A13" s="23" t="s">
        <v>187</v>
      </c>
      <c r="B13">
        <v>0.61</v>
      </c>
      <c r="C13">
        <v>0.51</v>
      </c>
      <c r="D13">
        <v>0.45</v>
      </c>
      <c r="E13">
        <v>0.32</v>
      </c>
      <c r="J13" s="24"/>
      <c r="U13" s="23"/>
      <c r="V13" t="s">
        <v>162</v>
      </c>
      <c r="W13">
        <v>2.935833333333334</v>
      </c>
      <c r="X13">
        <v>0.05</v>
      </c>
      <c r="Z13" t="s">
        <v>162</v>
      </c>
      <c r="AA13">
        <v>3.0727777777777776</v>
      </c>
      <c r="AB13">
        <v>0.04</v>
      </c>
      <c r="AD13" t="s">
        <v>162</v>
      </c>
      <c r="AE13">
        <v>3.1677777777777765</v>
      </c>
      <c r="AF13" s="24">
        <v>0.05</v>
      </c>
    </row>
    <row r="14" spans="1:32" x14ac:dyDescent="0.2">
      <c r="A14" s="23" t="s">
        <v>188</v>
      </c>
      <c r="B14">
        <v>0.61</v>
      </c>
      <c r="C14">
        <v>0.56000000000000005</v>
      </c>
      <c r="D14">
        <v>0.45</v>
      </c>
      <c r="E14">
        <v>0.32</v>
      </c>
      <c r="J14" s="24"/>
      <c r="U14" s="23">
        <v>-0.1585938135358432</v>
      </c>
      <c r="V14" t="s">
        <v>165</v>
      </c>
      <c r="W14">
        <v>0</v>
      </c>
      <c r="X14">
        <v>0.61</v>
      </c>
      <c r="Y14">
        <v>-0.11405299768275164</v>
      </c>
      <c r="Z14" t="s">
        <v>165</v>
      </c>
      <c r="AA14">
        <v>0</v>
      </c>
      <c r="AB14">
        <v>0.61</v>
      </c>
      <c r="AC14">
        <v>-0.11230859719730223</v>
      </c>
      <c r="AD14" t="s">
        <v>165</v>
      </c>
      <c r="AE14">
        <v>0</v>
      </c>
      <c r="AF14" s="24">
        <v>0.61</v>
      </c>
    </row>
    <row r="15" spans="1:32" x14ac:dyDescent="0.2">
      <c r="A15" s="23" t="s">
        <v>189</v>
      </c>
      <c r="B15">
        <v>0</v>
      </c>
      <c r="C15">
        <v>0.39993055555555468</v>
      </c>
      <c r="D15">
        <v>1.046180555555555</v>
      </c>
      <c r="E15">
        <v>2.9704513888888884</v>
      </c>
      <c r="J15" s="24"/>
      <c r="U15" s="23"/>
      <c r="V15" t="s">
        <v>165</v>
      </c>
      <c r="W15">
        <v>0.40972222222222054</v>
      </c>
      <c r="X15">
        <v>0.57999999999999996</v>
      </c>
      <c r="Z15" t="s">
        <v>165</v>
      </c>
      <c r="AA15">
        <v>0.35138888888888875</v>
      </c>
      <c r="AB15">
        <v>0.55000000000000004</v>
      </c>
      <c r="AD15" t="s">
        <v>165</v>
      </c>
      <c r="AE15">
        <v>0.42888888888888754</v>
      </c>
      <c r="AF15" s="24">
        <v>0.56000000000000005</v>
      </c>
    </row>
    <row r="16" spans="1:32" x14ac:dyDescent="0.2">
      <c r="A16" s="23" t="s">
        <v>190</v>
      </c>
      <c r="B16">
        <v>0</v>
      </c>
      <c r="C16">
        <v>0.36315972222222193</v>
      </c>
      <c r="D16">
        <v>1.1008680555555557</v>
      </c>
      <c r="E16">
        <v>3.0999999999999996</v>
      </c>
      <c r="J16" s="24"/>
      <c r="U16" s="23"/>
      <c r="V16" t="s">
        <v>165</v>
      </c>
      <c r="W16">
        <v>1.0597222222222209</v>
      </c>
      <c r="X16">
        <v>0.47</v>
      </c>
      <c r="Z16" t="s">
        <v>165</v>
      </c>
      <c r="AA16">
        <v>1.0899999999999999</v>
      </c>
      <c r="AB16">
        <v>0.51</v>
      </c>
      <c r="AD16" t="s">
        <v>165</v>
      </c>
      <c r="AE16">
        <v>1.1147222222222215</v>
      </c>
      <c r="AF16" s="24">
        <v>0.5</v>
      </c>
    </row>
    <row r="17" spans="1:32" ht="17" thickBot="1" x14ac:dyDescent="0.25">
      <c r="A17" s="25" t="s">
        <v>191</v>
      </c>
      <c r="B17" s="28">
        <v>0</v>
      </c>
      <c r="C17" s="28">
        <v>0.41624999999999912</v>
      </c>
      <c r="D17" s="28">
        <v>1.1036458333333328</v>
      </c>
      <c r="E17" s="28">
        <v>3.1915972222222218</v>
      </c>
      <c r="F17" s="28"/>
      <c r="G17" s="28"/>
      <c r="H17" s="28"/>
      <c r="I17" s="28"/>
      <c r="J17" s="29"/>
      <c r="U17" s="23"/>
      <c r="V17" t="s">
        <v>165</v>
      </c>
      <c r="W17">
        <v>2.9886111111111111</v>
      </c>
      <c r="X17">
        <v>0.15</v>
      </c>
      <c r="Z17" t="s">
        <v>165</v>
      </c>
      <c r="AA17">
        <v>3.0913888888888881</v>
      </c>
      <c r="AB17">
        <v>0.25</v>
      </c>
      <c r="AD17" t="s">
        <v>165</v>
      </c>
      <c r="AE17">
        <v>3.2041666666666666</v>
      </c>
      <c r="AF17" s="24">
        <v>0.25</v>
      </c>
    </row>
    <row r="18" spans="1:32" x14ac:dyDescent="0.2">
      <c r="U18" s="23">
        <v>-0.15342678399058252</v>
      </c>
      <c r="V18" t="s">
        <v>166</v>
      </c>
      <c r="W18">
        <v>0</v>
      </c>
      <c r="X18">
        <v>0.61</v>
      </c>
      <c r="Y18">
        <v>-0.11073999317751629</v>
      </c>
      <c r="Z18" t="s">
        <v>166</v>
      </c>
      <c r="AA18">
        <v>0</v>
      </c>
      <c r="AB18">
        <v>0.61</v>
      </c>
      <c r="AC18">
        <v>-6.7111864526799014E-2</v>
      </c>
      <c r="AD18" t="s">
        <v>166</v>
      </c>
      <c r="AE18">
        <v>0</v>
      </c>
      <c r="AF18" s="24">
        <v>0.61</v>
      </c>
    </row>
    <row r="19" spans="1:32" x14ac:dyDescent="0.2">
      <c r="B19">
        <v>0</v>
      </c>
      <c r="C19">
        <v>0.33</v>
      </c>
      <c r="D19">
        <v>1</v>
      </c>
      <c r="E19">
        <v>3</v>
      </c>
      <c r="F19" t="s">
        <v>38</v>
      </c>
      <c r="G19">
        <v>0</v>
      </c>
      <c r="H19">
        <v>0.33</v>
      </c>
      <c r="I19">
        <v>1</v>
      </c>
      <c r="J19">
        <v>3</v>
      </c>
      <c r="U19" s="23"/>
      <c r="V19" t="s">
        <v>166</v>
      </c>
      <c r="W19">
        <v>0.43249999999999833</v>
      </c>
      <c r="X19">
        <v>0.54</v>
      </c>
      <c r="Z19" t="s">
        <v>166</v>
      </c>
      <c r="AA19">
        <v>0.37166666666666615</v>
      </c>
      <c r="AB19">
        <v>0.55000000000000004</v>
      </c>
      <c r="AD19" t="s">
        <v>166</v>
      </c>
      <c r="AE19">
        <v>0.44749999999999801</v>
      </c>
      <c r="AF19" s="24">
        <v>0.56999999999999995</v>
      </c>
    </row>
    <row r="20" spans="1:32" x14ac:dyDescent="0.2">
      <c r="A20" t="s">
        <v>175</v>
      </c>
      <c r="B20">
        <v>0.61</v>
      </c>
      <c r="C20">
        <v>0.61</v>
      </c>
      <c r="D20">
        <v>0.45333333333333331</v>
      </c>
      <c r="E20">
        <v>0.17171157485326249</v>
      </c>
      <c r="H20">
        <v>1.0000000000000009E-2</v>
      </c>
      <c r="I20">
        <v>1.5275252316519449E-2</v>
      </c>
      <c r="J20">
        <v>1.8562004694663591E-2</v>
      </c>
      <c r="U20" s="23"/>
      <c r="V20" t="s">
        <v>165</v>
      </c>
      <c r="W20">
        <v>2.9886111111111111</v>
      </c>
      <c r="X20">
        <v>0.15</v>
      </c>
      <c r="Z20" t="s">
        <v>168</v>
      </c>
      <c r="AA20">
        <v>1.1283333333333339</v>
      </c>
      <c r="AB20">
        <v>0.5</v>
      </c>
      <c r="AD20" t="s">
        <v>167</v>
      </c>
      <c r="AE20">
        <v>1.1611111111111105</v>
      </c>
      <c r="AF20" s="24">
        <v>0.54</v>
      </c>
    </row>
    <row r="21" spans="1:32" x14ac:dyDescent="0.2">
      <c r="A21" t="s">
        <v>176</v>
      </c>
      <c r="B21">
        <v>0.61</v>
      </c>
      <c r="C21">
        <v>0.56333333333333335</v>
      </c>
      <c r="D21">
        <v>0.47333333333333333</v>
      </c>
      <c r="E21">
        <v>0.27540791940722437</v>
      </c>
      <c r="H21">
        <v>2.5166114784235794E-2</v>
      </c>
      <c r="I21">
        <v>3.5118845842842465E-2</v>
      </c>
      <c r="J21">
        <v>4.3141950754627845E-2</v>
      </c>
      <c r="U21" s="23"/>
      <c r="V21" t="s">
        <v>166</v>
      </c>
      <c r="W21">
        <v>1.078333333333334</v>
      </c>
      <c r="X21">
        <v>0.44</v>
      </c>
      <c r="Z21" t="s">
        <v>166</v>
      </c>
      <c r="AA21">
        <v>1.1094444444444438</v>
      </c>
      <c r="AB21">
        <v>0.46</v>
      </c>
      <c r="AD21" t="s">
        <v>166</v>
      </c>
      <c r="AE21">
        <v>1.1383333333333328</v>
      </c>
      <c r="AF21" s="24">
        <v>0.52</v>
      </c>
    </row>
    <row r="22" spans="1:32" x14ac:dyDescent="0.2">
      <c r="A22" t="s">
        <v>177</v>
      </c>
      <c r="B22">
        <v>0.61</v>
      </c>
      <c r="C22">
        <v>0.57000000000000006</v>
      </c>
      <c r="D22">
        <v>0.5</v>
      </c>
      <c r="E22">
        <v>0.28814994156897505</v>
      </c>
      <c r="H22">
        <v>4.3588989435406712E-2</v>
      </c>
      <c r="I22">
        <v>4.5825756949558413E-2</v>
      </c>
      <c r="J22">
        <v>6.3221296725909398E-2</v>
      </c>
      <c r="U22" s="23"/>
      <c r="V22" t="s">
        <v>166</v>
      </c>
      <c r="W22">
        <v>3.006666666666665</v>
      </c>
      <c r="X22">
        <v>0.14000000000000001</v>
      </c>
      <c r="Z22" t="s">
        <v>166</v>
      </c>
      <c r="AA22">
        <v>3.110833333333332</v>
      </c>
      <c r="AB22">
        <v>0.23</v>
      </c>
      <c r="AD22" t="s">
        <v>166</v>
      </c>
      <c r="AE22">
        <v>3.2172222222222224</v>
      </c>
      <c r="AF22">
        <v>0.22</v>
      </c>
    </row>
    <row r="23" spans="1:32" x14ac:dyDescent="0.2">
      <c r="A23" t="s">
        <v>178</v>
      </c>
      <c r="B23">
        <v>0.61</v>
      </c>
      <c r="C23">
        <v>0.58000000000000007</v>
      </c>
      <c r="D23">
        <v>0.38000000000000006</v>
      </c>
      <c r="E23">
        <v>0.1033444303814512</v>
      </c>
      <c r="H23">
        <v>1.9999999999999962E-2</v>
      </c>
      <c r="I23">
        <v>1.0000000000000009E-2</v>
      </c>
      <c r="J23">
        <v>2.9254976355277809E-2</v>
      </c>
      <c r="U23" s="23">
        <v>-0.18990704889599011</v>
      </c>
      <c r="V23" t="s">
        <v>167</v>
      </c>
      <c r="W23">
        <v>0</v>
      </c>
      <c r="X23">
        <v>0.61</v>
      </c>
      <c r="Y23">
        <v>-8.8825065887637389E-2</v>
      </c>
      <c r="Z23" t="s">
        <v>167</v>
      </c>
      <c r="AA23">
        <v>0</v>
      </c>
      <c r="AB23">
        <v>0.61</v>
      </c>
      <c r="AC23">
        <v>-6.5966306657293527E-2</v>
      </c>
      <c r="AD23" t="s">
        <v>167</v>
      </c>
      <c r="AE23">
        <v>0</v>
      </c>
      <c r="AF23" s="24">
        <v>0.61</v>
      </c>
    </row>
    <row r="24" spans="1:32" x14ac:dyDescent="0.2">
      <c r="A24" t="s">
        <v>179</v>
      </c>
      <c r="B24">
        <v>0.61</v>
      </c>
      <c r="C24">
        <v>0.53333333333333333</v>
      </c>
      <c r="D24">
        <v>0.3666666666666667</v>
      </c>
      <c r="E24">
        <v>6.0156259266663688E-2</v>
      </c>
      <c r="H24">
        <v>1.527525231651948E-2</v>
      </c>
      <c r="I24">
        <v>1.1547005383792525E-2</v>
      </c>
      <c r="J24">
        <v>3.1049501278723118E-2</v>
      </c>
      <c r="U24" s="23"/>
      <c r="V24" t="s">
        <v>167</v>
      </c>
      <c r="W24">
        <v>0.45055555555555493</v>
      </c>
      <c r="X24">
        <v>0.56000000000000005</v>
      </c>
      <c r="Z24" t="s">
        <v>167</v>
      </c>
      <c r="AA24">
        <v>0.39333333333333353</v>
      </c>
      <c r="AB24">
        <v>0.56999999999999995</v>
      </c>
      <c r="AD24" t="s">
        <v>167</v>
      </c>
      <c r="AE24">
        <v>0.468055555555555</v>
      </c>
      <c r="AF24" s="24">
        <v>0.56000000000000005</v>
      </c>
    </row>
    <row r="25" spans="1:32" x14ac:dyDescent="0.2">
      <c r="A25" t="s">
        <v>180</v>
      </c>
      <c r="B25">
        <v>0.61</v>
      </c>
      <c r="C25">
        <v>0.55333333333333334</v>
      </c>
      <c r="D25">
        <v>0.40333333333333332</v>
      </c>
      <c r="E25">
        <v>0.12002539976536358</v>
      </c>
      <c r="H25">
        <v>2.0816659994661302E-2</v>
      </c>
      <c r="I25">
        <v>2.0816659994661313E-2</v>
      </c>
      <c r="J25">
        <v>2.266320663326343E-2</v>
      </c>
      <c r="U25" s="23"/>
      <c r="V25" t="s">
        <v>167</v>
      </c>
      <c r="W25">
        <v>1.1013888888888888</v>
      </c>
      <c r="X25">
        <v>0.48</v>
      </c>
      <c r="Z25" t="s">
        <v>168</v>
      </c>
      <c r="AA25">
        <v>1.1283333333333339</v>
      </c>
      <c r="AB25">
        <v>0.5</v>
      </c>
      <c r="AD25" t="s">
        <v>167</v>
      </c>
      <c r="AE25">
        <v>1.1611111111111105</v>
      </c>
      <c r="AF25" s="24">
        <v>0.54</v>
      </c>
    </row>
    <row r="26" spans="1:32" x14ac:dyDescent="0.2">
      <c r="U26" s="23"/>
      <c r="V26" t="s">
        <v>167</v>
      </c>
      <c r="W26">
        <v>3.027499999999999</v>
      </c>
      <c r="X26">
        <v>0.05</v>
      </c>
      <c r="Z26" t="s">
        <v>167</v>
      </c>
      <c r="AA26">
        <v>3.1280555555555551</v>
      </c>
      <c r="AB26">
        <v>0.33</v>
      </c>
      <c r="AD26" t="s">
        <v>167</v>
      </c>
      <c r="AE26">
        <v>3.2302777777777756</v>
      </c>
      <c r="AF26">
        <v>0.39</v>
      </c>
    </row>
    <row r="27" spans="1:32" x14ac:dyDescent="0.2">
      <c r="A27" t="s">
        <v>181</v>
      </c>
      <c r="F27" t="s">
        <v>182</v>
      </c>
      <c r="U27">
        <v>-6.8298377996301951E-2</v>
      </c>
      <c r="V27" t="s">
        <v>66</v>
      </c>
      <c r="W27">
        <v>0</v>
      </c>
      <c r="X27">
        <v>0.61</v>
      </c>
      <c r="Y27">
        <v>-7.0112107016044742E-2</v>
      </c>
      <c r="Z27" t="s">
        <v>66</v>
      </c>
      <c r="AA27">
        <v>0</v>
      </c>
      <c r="AB27">
        <v>0.61</v>
      </c>
      <c r="AC27">
        <v>-7.2446094299596739E-2</v>
      </c>
      <c r="AD27" t="s">
        <v>66</v>
      </c>
      <c r="AE27">
        <v>0</v>
      </c>
      <c r="AF27" s="24">
        <v>0.61</v>
      </c>
    </row>
    <row r="28" spans="1:32" x14ac:dyDescent="0.2">
      <c r="A28" t="s">
        <v>183</v>
      </c>
      <c r="B28">
        <v>0.61</v>
      </c>
      <c r="C28">
        <v>0.59</v>
      </c>
      <c r="D28">
        <v>0.5</v>
      </c>
      <c r="E28">
        <v>0.40058479532163743</v>
      </c>
      <c r="F28" t="s">
        <v>184</v>
      </c>
      <c r="U28" s="23"/>
      <c r="V28" t="s">
        <v>66</v>
      </c>
      <c r="W28">
        <v>0.4691666666666654</v>
      </c>
      <c r="X28">
        <v>0.52</v>
      </c>
      <c r="Z28" t="s">
        <v>66</v>
      </c>
      <c r="AA28">
        <v>0.44194444444444336</v>
      </c>
      <c r="AB28">
        <v>0.53</v>
      </c>
      <c r="AD28" t="s">
        <v>66</v>
      </c>
      <c r="AE28">
        <v>0.4883333333333324</v>
      </c>
      <c r="AF28" s="24">
        <v>0.56000000000000005</v>
      </c>
    </row>
    <row r="29" spans="1:32" x14ac:dyDescent="0.2">
      <c r="A29" t="s">
        <v>185</v>
      </c>
      <c r="B29">
        <v>0.61</v>
      </c>
      <c r="C29">
        <v>0.55000000000000004</v>
      </c>
      <c r="D29">
        <v>0.51</v>
      </c>
      <c r="E29">
        <v>0.35883905013192613</v>
      </c>
      <c r="U29" s="23"/>
      <c r="V29" t="s">
        <v>66</v>
      </c>
      <c r="W29">
        <v>1.1283333333333312</v>
      </c>
      <c r="X29">
        <v>0.51</v>
      </c>
      <c r="Z29" t="s">
        <v>66</v>
      </c>
      <c r="AA29">
        <v>1.1672222222222217</v>
      </c>
      <c r="AB29">
        <v>0.54</v>
      </c>
      <c r="AD29" t="s">
        <v>66</v>
      </c>
      <c r="AE29">
        <v>1.1916666666666664</v>
      </c>
      <c r="AF29" s="24">
        <v>0.53</v>
      </c>
    </row>
    <row r="30" spans="1:32" x14ac:dyDescent="0.2">
      <c r="A30" t="s">
        <v>186</v>
      </c>
      <c r="U30" s="23"/>
      <c r="V30" t="s">
        <v>66</v>
      </c>
      <c r="W30">
        <v>3.0502777777777768</v>
      </c>
      <c r="X30">
        <v>0.38</v>
      </c>
      <c r="Z30" t="s">
        <v>66</v>
      </c>
      <c r="AA30">
        <v>3.158611111111111</v>
      </c>
      <c r="AB30">
        <v>0.37</v>
      </c>
      <c r="AD30" t="s">
        <v>66</v>
      </c>
      <c r="AE30">
        <v>3.24</v>
      </c>
      <c r="AF30">
        <v>0.37</v>
      </c>
    </row>
    <row r="31" spans="1:32" x14ac:dyDescent="0.2">
      <c r="A31" t="s">
        <v>187</v>
      </c>
      <c r="B31">
        <v>0.61</v>
      </c>
      <c r="C31">
        <v>0.44</v>
      </c>
      <c r="D31">
        <v>0.23</v>
      </c>
      <c r="E31">
        <v>9.8379629629629636E-2</v>
      </c>
      <c r="U31">
        <v>-0.13339943269982935</v>
      </c>
      <c r="V31" t="s">
        <v>202</v>
      </c>
      <c r="W31">
        <v>0</v>
      </c>
      <c r="X31">
        <v>0.61</v>
      </c>
      <c r="Y31">
        <v>-8.368376542057239E-2</v>
      </c>
      <c r="Z31" t="s">
        <v>202</v>
      </c>
      <c r="AA31">
        <v>0</v>
      </c>
      <c r="AB31">
        <v>0.61</v>
      </c>
      <c r="AC31">
        <v>-8.8396425752185481E-2</v>
      </c>
      <c r="AD31" t="s">
        <v>202</v>
      </c>
      <c r="AE31">
        <v>0</v>
      </c>
      <c r="AF31" s="24">
        <v>0.61</v>
      </c>
    </row>
    <row r="32" spans="1:32" x14ac:dyDescent="0.2">
      <c r="A32" t="s">
        <v>188</v>
      </c>
      <c r="B32">
        <v>0.61</v>
      </c>
      <c r="C32">
        <v>0.54</v>
      </c>
      <c r="D32">
        <v>0.39</v>
      </c>
      <c r="E32">
        <v>0.12883435582822086</v>
      </c>
      <c r="U32" s="23"/>
      <c r="V32" t="s">
        <v>202</v>
      </c>
      <c r="W32">
        <v>0.38888888888888662</v>
      </c>
      <c r="X32">
        <v>0.42</v>
      </c>
      <c r="Z32" t="s">
        <v>202</v>
      </c>
      <c r="AA32">
        <v>0.411944444444444</v>
      </c>
      <c r="AB32">
        <v>0.51</v>
      </c>
      <c r="AD32" t="s">
        <v>202</v>
      </c>
      <c r="AE32">
        <v>0.40722222222222015</v>
      </c>
      <c r="AF32" s="24">
        <v>0.56000000000000005</v>
      </c>
    </row>
    <row r="33" spans="1:32" x14ac:dyDescent="0.2">
      <c r="A33" t="s">
        <v>189</v>
      </c>
      <c r="B33">
        <v>0</v>
      </c>
      <c r="C33">
        <v>0.46597222222222312</v>
      </c>
      <c r="D33">
        <v>1.1413888888888897</v>
      </c>
      <c r="E33">
        <v>2.8963888888888896</v>
      </c>
      <c r="U33" s="23"/>
      <c r="V33" t="s">
        <v>202</v>
      </c>
      <c r="W33">
        <v>1.0291666666666677</v>
      </c>
      <c r="X33">
        <v>0.38</v>
      </c>
      <c r="Z33" t="s">
        <v>202</v>
      </c>
      <c r="AA33">
        <v>1.145555555555557</v>
      </c>
      <c r="AB33">
        <v>0.45</v>
      </c>
      <c r="AD33" t="s">
        <v>202</v>
      </c>
      <c r="AE33">
        <v>1.0922222222222207</v>
      </c>
      <c r="AF33" s="24">
        <v>0.45</v>
      </c>
    </row>
    <row r="34" spans="1:32" ht="17" thickBot="1" x14ac:dyDescent="0.25">
      <c r="A34" t="s">
        <v>190</v>
      </c>
      <c r="B34">
        <v>0</v>
      </c>
      <c r="C34">
        <v>0.46968749999999948</v>
      </c>
      <c r="D34">
        <v>1.1949999999999996</v>
      </c>
      <c r="E34">
        <v>3.2830902777777773</v>
      </c>
      <c r="U34" s="25"/>
      <c r="V34" s="28" t="s">
        <v>202</v>
      </c>
      <c r="W34" s="28">
        <v>2.9574999999999987</v>
      </c>
      <c r="X34" s="28">
        <v>0.16</v>
      </c>
      <c r="Y34" s="28"/>
      <c r="Z34" s="28" t="s">
        <v>202</v>
      </c>
      <c r="AA34" s="28">
        <v>3.1497222222222225</v>
      </c>
      <c r="AB34" s="28">
        <v>0.32</v>
      </c>
      <c r="AC34" s="28"/>
      <c r="AD34" s="28" t="s">
        <v>202</v>
      </c>
      <c r="AE34" s="28">
        <v>3.1919444444444443</v>
      </c>
      <c r="AF34" s="28">
        <v>0.32</v>
      </c>
    </row>
    <row r="35" spans="1:32" ht="17" thickBot="1" x14ac:dyDescent="0.25">
      <c r="A35" t="s">
        <v>191</v>
      </c>
      <c r="B35">
        <v>0</v>
      </c>
      <c r="C35">
        <v>0.36993055555555598</v>
      </c>
      <c r="D35">
        <v>1.0937847222222228</v>
      </c>
      <c r="E35">
        <v>2.7832638888888894</v>
      </c>
    </row>
    <row r="36" spans="1:32" x14ac:dyDescent="0.2">
      <c r="V36" s="20" t="s">
        <v>195</v>
      </c>
      <c r="W36" s="21"/>
      <c r="X36" s="21"/>
      <c r="Y36" s="21"/>
      <c r="Z36" s="21" t="s">
        <v>195</v>
      </c>
      <c r="AA36" s="21"/>
      <c r="AB36" s="21"/>
      <c r="AC36" s="21"/>
      <c r="AD36" s="21" t="s">
        <v>195</v>
      </c>
      <c r="AE36" s="22"/>
    </row>
    <row r="37" spans="1:32" x14ac:dyDescent="0.2">
      <c r="V37" s="23" t="s">
        <v>196</v>
      </c>
      <c r="W37">
        <v>0.39993055555555468</v>
      </c>
      <c r="Z37" t="s">
        <v>196</v>
      </c>
      <c r="AA37">
        <v>0.36315972222222193</v>
      </c>
      <c r="AD37" t="s">
        <v>196</v>
      </c>
      <c r="AE37" s="24">
        <v>0.41624999999999912</v>
      </c>
    </row>
    <row r="38" spans="1:32" x14ac:dyDescent="0.2">
      <c r="V38" s="23" t="s">
        <v>197</v>
      </c>
      <c r="W38">
        <v>1.046180555555555</v>
      </c>
      <c r="Z38" t="s">
        <v>197</v>
      </c>
      <c r="AA38">
        <v>1.1008680555555557</v>
      </c>
      <c r="AD38" t="s">
        <v>197</v>
      </c>
      <c r="AE38" s="24">
        <v>1.1036458333333328</v>
      </c>
    </row>
    <row r="39" spans="1:32" ht="17" thickBot="1" x14ac:dyDescent="0.25">
      <c r="V39" s="25" t="s">
        <v>198</v>
      </c>
      <c r="W39" s="28">
        <v>2.9704513888888884</v>
      </c>
      <c r="X39" s="28"/>
      <c r="Y39" s="28"/>
      <c r="Z39" s="28" t="s">
        <v>198</v>
      </c>
      <c r="AA39" s="28">
        <v>3.0999999999999996</v>
      </c>
      <c r="AB39" s="28"/>
      <c r="AC39" s="28"/>
      <c r="AD39" s="28" t="s">
        <v>198</v>
      </c>
      <c r="AE39" s="29">
        <v>3.1915972222222218</v>
      </c>
    </row>
    <row r="44" spans="1:32" x14ac:dyDescent="0.2">
      <c r="A44" t="s">
        <v>52</v>
      </c>
    </row>
    <row r="45" spans="1:32" x14ac:dyDescent="0.2">
      <c r="B45" t="s">
        <v>192</v>
      </c>
      <c r="C45" t="s">
        <v>203</v>
      </c>
      <c r="D45" t="s">
        <v>204</v>
      </c>
      <c r="E45" t="s">
        <v>38</v>
      </c>
    </row>
    <row r="46" spans="1:32" x14ac:dyDescent="0.2">
      <c r="A46" t="s">
        <v>65</v>
      </c>
      <c r="B46">
        <v>-0.17292022803509113</v>
      </c>
      <c r="C46">
        <v>-0.17090074852807535</v>
      </c>
      <c r="D46">
        <v>-0.17380301008271168</v>
      </c>
      <c r="F46">
        <v>2.0343588374783145E-2</v>
      </c>
      <c r="G46">
        <v>1.0521975459135321E-2</v>
      </c>
      <c r="H46">
        <v>3.4901871325276677E-3</v>
      </c>
    </row>
    <row r="47" spans="1:32" x14ac:dyDescent="0.2">
      <c r="A47" t="s">
        <v>43</v>
      </c>
      <c r="B47">
        <v>-0.15601029876321287</v>
      </c>
      <c r="C47">
        <v>-0.11073999317751629</v>
      </c>
      <c r="D47">
        <v>-8.1795589460464932E-2</v>
      </c>
      <c r="F47">
        <v>1.9740088781505283E-2</v>
      </c>
      <c r="G47">
        <v>1.3709416348087932E-2</v>
      </c>
      <c r="H47">
        <v>2.643124678423845E-2</v>
      </c>
    </row>
    <row r="48" spans="1:32" x14ac:dyDescent="0.2">
      <c r="A48" t="s">
        <v>205</v>
      </c>
      <c r="B48">
        <v>-0.13339943269982935</v>
      </c>
      <c r="C48">
        <v>-8.368376542057239E-2</v>
      </c>
      <c r="D48">
        <v>-8.8396425752185481E-2</v>
      </c>
    </row>
    <row r="49" spans="1:8" x14ac:dyDescent="0.2">
      <c r="A49" t="s">
        <v>206</v>
      </c>
      <c r="B49">
        <v>-6.8298377996301951E-2</v>
      </c>
      <c r="C49">
        <v>-7.0112107016044742E-2</v>
      </c>
      <c r="D49">
        <v>-7.2446094299596739E-2</v>
      </c>
    </row>
    <row r="50" spans="1:8" x14ac:dyDescent="0.2">
      <c r="A50" t="s">
        <v>207</v>
      </c>
    </row>
    <row r="51" spans="1:8" x14ac:dyDescent="0.2">
      <c r="A51" t="s">
        <v>65</v>
      </c>
      <c r="B51">
        <v>0.28347578366408382</v>
      </c>
      <c r="C51">
        <v>0.280165161521435</v>
      </c>
      <c r="D51">
        <v>0.2849229673487077</v>
      </c>
      <c r="F51">
        <v>3.3350144876693681E-2</v>
      </c>
      <c r="G51">
        <v>1.7249140096943151E-2</v>
      </c>
      <c r="H51">
        <v>5.7216182500453572E-3</v>
      </c>
    </row>
    <row r="52" spans="1:8" x14ac:dyDescent="0.2">
      <c r="A52" t="s">
        <v>43</v>
      </c>
      <c r="B52">
        <v>0.25575458813641455</v>
      </c>
      <c r="C52">
        <v>0.18154097242215786</v>
      </c>
      <c r="D52">
        <v>0.13409113026305727</v>
      </c>
      <c r="F52">
        <v>3.2360801281156204E-2</v>
      </c>
      <c r="G52">
        <v>2.2474453029652348E-2</v>
      </c>
      <c r="H52">
        <v>4.3329912761046641E-2</v>
      </c>
    </row>
    <row r="53" spans="1:8" x14ac:dyDescent="0.2">
      <c r="A53" t="s">
        <v>205</v>
      </c>
      <c r="B53">
        <v>0.21868759458988418</v>
      </c>
      <c r="C53">
        <v>0.13718650068946295</v>
      </c>
      <c r="D53">
        <v>0.14491217336423851</v>
      </c>
      <c r="E53" t="s">
        <v>208</v>
      </c>
    </row>
    <row r="54" spans="1:8" x14ac:dyDescent="0.2">
      <c r="A54" t="s">
        <v>206</v>
      </c>
      <c r="B54">
        <v>0.11196455409229829</v>
      </c>
      <c r="C54">
        <v>0.11493788035417171</v>
      </c>
      <c r="D54">
        <v>0.11876408901573236</v>
      </c>
      <c r="E54" t="s">
        <v>209</v>
      </c>
    </row>
    <row r="55" spans="1:8" x14ac:dyDescent="0.2">
      <c r="B55">
        <v>0</v>
      </c>
      <c r="C55">
        <v>0</v>
      </c>
      <c r="D55">
        <v>0</v>
      </c>
    </row>
    <row r="56" spans="1:8" x14ac:dyDescent="0.2">
      <c r="B56">
        <v>0.46471439944931775</v>
      </c>
      <c r="C56">
        <v>0.45928715003513937</v>
      </c>
      <c r="D56">
        <v>0.46708683171919296</v>
      </c>
    </row>
    <row r="58" spans="1:8" x14ac:dyDescent="0.2">
      <c r="A58" t="s">
        <v>75</v>
      </c>
    </row>
    <row r="59" spans="1:8" x14ac:dyDescent="0.2">
      <c r="B59" t="s">
        <v>192</v>
      </c>
      <c r="C59" t="s">
        <v>193</v>
      </c>
      <c r="D59" t="s">
        <v>210</v>
      </c>
      <c r="E59" t="s">
        <v>38</v>
      </c>
    </row>
    <row r="60" spans="1:8" x14ac:dyDescent="0.2">
      <c r="A60" t="s">
        <v>65</v>
      </c>
      <c r="B60">
        <v>-0.18090070628542676</v>
      </c>
      <c r="C60">
        <v>-0.16906625491997207</v>
      </c>
      <c r="D60">
        <v>-0.18439173639100756</v>
      </c>
      <c r="F60">
        <v>1.9513929767624328E-2</v>
      </c>
      <c r="G60">
        <v>1.2477973135794466E-2</v>
      </c>
      <c r="H60">
        <v>1.3152306714979412E-3</v>
      </c>
    </row>
    <row r="61" spans="1:8" x14ac:dyDescent="0.2">
      <c r="A61" t="s">
        <v>43</v>
      </c>
      <c r="B61">
        <v>-0.16491152459768962</v>
      </c>
      <c r="C61">
        <v>-0.10021911380655948</v>
      </c>
      <c r="D61">
        <v>-0.12586546640546489</v>
      </c>
      <c r="F61">
        <v>1.0105106130190854E-3</v>
      </c>
      <c r="G61">
        <v>2.2525950571032159E-2</v>
      </c>
      <c r="H61">
        <v>2.461762717581881E-2</v>
      </c>
    </row>
    <row r="62" spans="1:8" x14ac:dyDescent="0.2">
      <c r="A62" t="s">
        <v>205</v>
      </c>
      <c r="C62">
        <v>-0.1284824329988872</v>
      </c>
      <c r="D62">
        <v>-0.16600397800323305</v>
      </c>
    </row>
    <row r="63" spans="1:8" x14ac:dyDescent="0.2">
      <c r="A63" t="s">
        <v>206</v>
      </c>
      <c r="C63">
        <v>-6.0520749592279696E-2</v>
      </c>
      <c r="D63">
        <v>-7.8693079505354285E-2</v>
      </c>
    </row>
    <row r="64" spans="1:8" x14ac:dyDescent="0.2">
      <c r="A64" t="s">
        <v>207</v>
      </c>
    </row>
    <row r="65" spans="1:8" x14ac:dyDescent="0.2">
      <c r="A65" t="s">
        <v>65</v>
      </c>
      <c r="B65">
        <v>0.29655853489414224</v>
      </c>
      <c r="C65">
        <v>0.27715779495077392</v>
      </c>
      <c r="D65">
        <v>0.30228153506722549</v>
      </c>
      <c r="F65">
        <v>3.1990048799384142E-2</v>
      </c>
      <c r="G65">
        <v>2.0455693665236828E-2</v>
      </c>
      <c r="H65">
        <v>2.1561158549146578E-3</v>
      </c>
    </row>
    <row r="66" spans="1:8" x14ac:dyDescent="0.2">
      <c r="A66" t="s">
        <v>43</v>
      </c>
      <c r="B66">
        <v>0.27034676163555676</v>
      </c>
      <c r="C66">
        <v>0.16429362919108112</v>
      </c>
      <c r="D66">
        <v>0.20633683017289328</v>
      </c>
      <c r="F66">
        <v>1.6565747754411237E-3</v>
      </c>
      <c r="G66">
        <v>3.6927787821364196E-2</v>
      </c>
      <c r="H66">
        <v>4.0356765861998052E-2</v>
      </c>
    </row>
    <row r="67" spans="1:8" x14ac:dyDescent="0.2">
      <c r="A67" t="s">
        <v>205</v>
      </c>
      <c r="B67">
        <v>0</v>
      </c>
      <c r="C67">
        <v>0.21062693934243804</v>
      </c>
      <c r="D67">
        <v>0.27213766885775909</v>
      </c>
      <c r="E67" t="s">
        <v>208</v>
      </c>
    </row>
    <row r="68" spans="1:8" x14ac:dyDescent="0.2">
      <c r="A68" t="s">
        <v>206</v>
      </c>
      <c r="B68">
        <v>0</v>
      </c>
      <c r="C68">
        <v>9.9214343593901147E-2</v>
      </c>
      <c r="D68">
        <v>0.12900504836943325</v>
      </c>
      <c r="E68" t="s">
        <v>209</v>
      </c>
    </row>
    <row r="69" spans="1:8" x14ac:dyDescent="0.2">
      <c r="B69">
        <v>0</v>
      </c>
      <c r="C69">
        <v>0</v>
      </c>
      <c r="D69">
        <v>0</v>
      </c>
    </row>
    <row r="70" spans="1:8" x14ac:dyDescent="0.2">
      <c r="B70">
        <v>0.48616153261334794</v>
      </c>
      <c r="C70">
        <v>0.45435704090290807</v>
      </c>
      <c r="D70">
        <v>0.49554350011020576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4A97E-F7D5-7843-B663-316A999A5B2A}">
  <dimension ref="A1:O75"/>
  <sheetViews>
    <sheetView workbookViewId="0">
      <selection activeCell="G76" sqref="G76"/>
    </sheetView>
  </sheetViews>
  <sheetFormatPr baseColWidth="10" defaultRowHeight="16" x14ac:dyDescent="0.2"/>
  <sheetData>
    <row r="1" spans="1:15" x14ac:dyDescent="0.2">
      <c r="A1" t="s">
        <v>152</v>
      </c>
      <c r="F1" t="s">
        <v>38</v>
      </c>
      <c r="G1">
        <v>1.7994935755458938</v>
      </c>
      <c r="I1" t="s">
        <v>153</v>
      </c>
      <c r="J1" t="s">
        <v>155</v>
      </c>
      <c r="K1" s="1" t="s">
        <v>156</v>
      </c>
      <c r="L1" s="1" t="s">
        <v>154</v>
      </c>
      <c r="M1" t="s">
        <v>157</v>
      </c>
      <c r="N1" t="s">
        <v>38</v>
      </c>
      <c r="O1" t="s">
        <v>158</v>
      </c>
    </row>
    <row r="2" spans="1:15" x14ac:dyDescent="0.2">
      <c r="F2" t="s">
        <v>37</v>
      </c>
      <c r="G2">
        <v>28.515495113134104</v>
      </c>
      <c r="J2" t="s">
        <v>75</v>
      </c>
      <c r="K2" s="1" t="s">
        <v>53</v>
      </c>
      <c r="L2" s="1">
        <v>106.70965700000001</v>
      </c>
      <c r="M2">
        <f>AVERAGE(L2:L6)</f>
        <v>108.61461120000001</v>
      </c>
      <c r="N2">
        <f>STDEV(L2:L6)</f>
        <v>2.8563955829777341</v>
      </c>
      <c r="O2" t="s">
        <v>159</v>
      </c>
    </row>
    <row r="3" spans="1:15" x14ac:dyDescent="0.2">
      <c r="J3" t="s">
        <v>75</v>
      </c>
      <c r="K3" s="1" t="s">
        <v>54</v>
      </c>
      <c r="L3" s="1">
        <v>107.602553</v>
      </c>
    </row>
    <row r="4" spans="1:15" x14ac:dyDescent="0.2">
      <c r="D4" t="s">
        <v>0</v>
      </c>
      <c r="J4" t="s">
        <v>75</v>
      </c>
      <c r="K4" s="1" t="s">
        <v>55</v>
      </c>
      <c r="L4" s="1">
        <v>112.54857800000001</v>
      </c>
    </row>
    <row r="5" spans="1:15" x14ac:dyDescent="0.2">
      <c r="D5" t="s">
        <v>1</v>
      </c>
      <c r="E5" t="s">
        <v>2</v>
      </c>
      <c r="F5" t="s">
        <v>3</v>
      </c>
      <c r="G5" t="s">
        <v>4</v>
      </c>
      <c r="J5" t="s">
        <v>75</v>
      </c>
      <c r="K5" s="1" t="s">
        <v>56</v>
      </c>
      <c r="L5" s="1">
        <v>110.55457</v>
      </c>
    </row>
    <row r="6" spans="1:15" x14ac:dyDescent="0.2">
      <c r="A6" t="s">
        <v>5</v>
      </c>
      <c r="B6">
        <v>1</v>
      </c>
      <c r="C6" t="s">
        <v>7</v>
      </c>
      <c r="D6">
        <v>16.539049197751996</v>
      </c>
      <c r="E6">
        <v>9.3112063879195777</v>
      </c>
      <c r="F6">
        <v>5.072003595511557</v>
      </c>
      <c r="G6">
        <v>30.922259181183133</v>
      </c>
      <c r="J6" t="s">
        <v>75</v>
      </c>
      <c r="K6" s="1" t="s">
        <v>57</v>
      </c>
      <c r="L6" s="1">
        <v>105.657698</v>
      </c>
    </row>
    <row r="7" spans="1:15" x14ac:dyDescent="0.2">
      <c r="B7">
        <v>2</v>
      </c>
      <c r="C7" t="s">
        <v>8</v>
      </c>
      <c r="D7">
        <v>11.412184893305556</v>
      </c>
      <c r="E7">
        <v>8.3445290123202991</v>
      </c>
      <c r="F7">
        <v>5.011497194796501</v>
      </c>
      <c r="G7">
        <v>24.768211100422356</v>
      </c>
      <c r="J7" t="s">
        <v>75</v>
      </c>
      <c r="K7" s="1" t="s">
        <v>58</v>
      </c>
      <c r="L7" s="1">
        <v>52.815651799999998</v>
      </c>
      <c r="M7">
        <f>AVERAGE(L7:L11)</f>
        <v>53.914936140000009</v>
      </c>
      <c r="N7">
        <f>STDEV(L7:L11)</f>
        <v>4.914756341448955</v>
      </c>
      <c r="O7">
        <f>L13</f>
        <v>65.857923799999995</v>
      </c>
    </row>
    <row r="8" spans="1:15" x14ac:dyDescent="0.2">
      <c r="B8">
        <v>3</v>
      </c>
      <c r="C8" t="s">
        <v>9</v>
      </c>
      <c r="D8">
        <v>14.335982324429368</v>
      </c>
      <c r="E8">
        <v>9.2618611019443087</v>
      </c>
      <c r="F8">
        <v>5.176448401451343</v>
      </c>
      <c r="G8">
        <v>28.774291827825021</v>
      </c>
      <c r="J8" t="s">
        <v>75</v>
      </c>
      <c r="K8" s="1" t="s">
        <v>59</v>
      </c>
      <c r="L8" s="1">
        <v>54.162425499999998</v>
      </c>
    </row>
    <row r="9" spans="1:15" x14ac:dyDescent="0.2">
      <c r="B9">
        <v>4</v>
      </c>
      <c r="C9" t="s">
        <v>10</v>
      </c>
      <c r="D9">
        <v>15.53389160954317</v>
      </c>
      <c r="E9">
        <v>9.7330395449256937</v>
      </c>
      <c r="F9">
        <v>5.4325742672704971</v>
      </c>
      <c r="G9">
        <v>30.69950542173936</v>
      </c>
      <c r="J9" t="s">
        <v>75</v>
      </c>
      <c r="K9" s="1" t="s">
        <v>60</v>
      </c>
      <c r="L9" s="1">
        <v>46.316265600000001</v>
      </c>
    </row>
    <row r="10" spans="1:15" x14ac:dyDescent="0.2">
      <c r="B10">
        <v>5</v>
      </c>
      <c r="C10" t="s">
        <v>11</v>
      </c>
      <c r="D10">
        <v>14.248288847874463</v>
      </c>
      <c r="E10">
        <v>9.1568234494373169</v>
      </c>
      <c r="F10">
        <v>5.5006716987473396</v>
      </c>
      <c r="G10">
        <v>28.905783996059121</v>
      </c>
      <c r="J10" t="s">
        <v>75</v>
      </c>
      <c r="K10" s="1" t="s">
        <v>61</v>
      </c>
      <c r="L10" s="1">
        <v>59.116044100000003</v>
      </c>
    </row>
    <row r="11" spans="1:15" x14ac:dyDescent="0.2">
      <c r="B11">
        <v>6</v>
      </c>
      <c r="C11" t="s">
        <v>12</v>
      </c>
      <c r="D11">
        <v>14.442757441486288</v>
      </c>
      <c r="E11">
        <v>9.3486779879315147</v>
      </c>
      <c r="F11">
        <v>5.0183308328423299</v>
      </c>
      <c r="G11">
        <v>28.809766262260133</v>
      </c>
      <c r="J11" t="s">
        <v>75</v>
      </c>
      <c r="K11" s="1" t="s">
        <v>62</v>
      </c>
      <c r="L11" s="1">
        <v>57.164293700000002</v>
      </c>
    </row>
    <row r="12" spans="1:15" x14ac:dyDescent="0.2">
      <c r="B12">
        <v>7</v>
      </c>
      <c r="C12" t="s">
        <v>13</v>
      </c>
      <c r="D12">
        <v>15.626232133713403</v>
      </c>
      <c r="E12">
        <v>9.9508603670871949</v>
      </c>
      <c r="F12">
        <v>5.6516845846131556</v>
      </c>
      <c r="G12">
        <v>31.228777085413753</v>
      </c>
      <c r="J12" t="s">
        <v>75</v>
      </c>
      <c r="K12" s="1" t="s">
        <v>63</v>
      </c>
      <c r="L12" s="1">
        <v>109.33241099999999</v>
      </c>
    </row>
    <row r="13" spans="1:15" x14ac:dyDescent="0.2">
      <c r="B13">
        <v>8</v>
      </c>
      <c r="C13" t="s">
        <v>14</v>
      </c>
      <c r="D13">
        <v>14.896179304346278</v>
      </c>
      <c r="E13">
        <v>9.1503932631526386</v>
      </c>
      <c r="F13">
        <v>4.9236631107523365</v>
      </c>
      <c r="G13">
        <v>28.970235678251253</v>
      </c>
      <c r="J13" t="s">
        <v>75</v>
      </c>
      <c r="K13" s="1" t="s">
        <v>64</v>
      </c>
      <c r="L13" s="1">
        <v>65.857923799999995</v>
      </c>
    </row>
    <row r="14" spans="1:15" x14ac:dyDescent="0.2">
      <c r="B14">
        <v>9</v>
      </c>
      <c r="C14" t="s">
        <v>15</v>
      </c>
      <c r="D14">
        <v>14.527613395872979</v>
      </c>
      <c r="E14">
        <v>9.1462761325417556</v>
      </c>
      <c r="F14">
        <v>5.6371392279125221</v>
      </c>
      <c r="G14">
        <v>29.311028756327254</v>
      </c>
      <c r="J14" t="s">
        <v>52</v>
      </c>
      <c r="K14" t="s">
        <v>53</v>
      </c>
      <c r="L14">
        <v>105.0972939555802</v>
      </c>
      <c r="M14">
        <f>AVERAGE(L14:L18)</f>
        <v>107.4723287033692</v>
      </c>
      <c r="N14">
        <f>STDEV(L14:L18)</f>
        <v>2.0257172557866112</v>
      </c>
      <c r="O14">
        <f>L24</f>
        <v>98.374316758124507</v>
      </c>
    </row>
    <row r="15" spans="1:15" x14ac:dyDescent="0.2">
      <c r="B15">
        <v>10</v>
      </c>
      <c r="C15" t="s">
        <v>16</v>
      </c>
      <c r="D15">
        <v>15.286936719601517</v>
      </c>
      <c r="E15">
        <v>10.044173392866306</v>
      </c>
      <c r="F15">
        <v>4.8786035714577283</v>
      </c>
      <c r="G15">
        <v>30.20971368392555</v>
      </c>
      <c r="J15" t="s">
        <v>52</v>
      </c>
      <c r="K15" t="s">
        <v>54</v>
      </c>
      <c r="L15">
        <v>105.61274326027699</v>
      </c>
    </row>
    <row r="16" spans="1:15" x14ac:dyDescent="0.2">
      <c r="B16">
        <v>11</v>
      </c>
      <c r="C16" t="s">
        <v>17</v>
      </c>
      <c r="D16">
        <v>12.769570994735195</v>
      </c>
      <c r="E16">
        <v>9.9654750078698733</v>
      </c>
      <c r="F16">
        <v>5.6443347655274669</v>
      </c>
      <c r="G16">
        <v>28.379380768132535</v>
      </c>
      <c r="J16" t="s">
        <v>52</v>
      </c>
      <c r="K16" t="s">
        <v>55</v>
      </c>
      <c r="L16">
        <v>108.20686849998475</v>
      </c>
    </row>
    <row r="17" spans="2:15" x14ac:dyDescent="0.2">
      <c r="B17">
        <v>12</v>
      </c>
      <c r="C17" t="s">
        <v>18</v>
      </c>
      <c r="D17">
        <v>14.974714208315339</v>
      </c>
      <c r="E17">
        <v>9.76946346880964</v>
      </c>
      <c r="F17">
        <v>4.973972497432916</v>
      </c>
      <c r="G17">
        <v>29.718150174557898</v>
      </c>
      <c r="J17" t="s">
        <v>52</v>
      </c>
      <c r="K17" t="s">
        <v>56</v>
      </c>
      <c r="L17">
        <v>108.65208676321053</v>
      </c>
    </row>
    <row r="18" spans="2:15" x14ac:dyDescent="0.2">
      <c r="B18">
        <v>13</v>
      </c>
      <c r="C18" t="s">
        <v>19</v>
      </c>
      <c r="D18">
        <v>16.391061574661968</v>
      </c>
      <c r="E18">
        <v>10.086139687278896</v>
      </c>
      <c r="F18">
        <v>5.5528585118373464</v>
      </c>
      <c r="G18">
        <v>32.030059773778206</v>
      </c>
      <c r="J18" t="s">
        <v>52</v>
      </c>
      <c r="K18" t="s">
        <v>57</v>
      </c>
      <c r="L18">
        <v>109.79265103779352</v>
      </c>
    </row>
    <row r="19" spans="2:15" x14ac:dyDescent="0.2">
      <c r="B19">
        <v>14</v>
      </c>
      <c r="C19" t="s">
        <v>20</v>
      </c>
      <c r="D19">
        <v>16.153860216524802</v>
      </c>
      <c r="E19">
        <v>9.3980169220347918</v>
      </c>
      <c r="F19">
        <v>5.1364304860789423</v>
      </c>
      <c r="G19">
        <v>30.688307624638536</v>
      </c>
      <c r="J19" t="s">
        <v>52</v>
      </c>
      <c r="K19" t="s">
        <v>58</v>
      </c>
      <c r="L19">
        <v>52.201901968577829</v>
      </c>
      <c r="M19">
        <f>AVERAGE(L19:L23)</f>
        <v>48.803765539006235</v>
      </c>
      <c r="N19">
        <f>STDEV(L19:L23)</f>
        <v>6.2750197223694872</v>
      </c>
      <c r="O19">
        <f>L25</f>
        <v>25.07028483150928</v>
      </c>
    </row>
    <row r="20" spans="2:15" x14ac:dyDescent="0.2">
      <c r="B20">
        <v>15</v>
      </c>
      <c r="C20" t="s">
        <v>21</v>
      </c>
      <c r="D20">
        <v>12.176064890067137</v>
      </c>
      <c r="E20">
        <v>9.1496778287773086</v>
      </c>
      <c r="F20">
        <v>5.1164288659432202</v>
      </c>
      <c r="G20">
        <v>26.442171584787665</v>
      </c>
      <c r="J20" t="s">
        <v>52</v>
      </c>
      <c r="K20" t="s">
        <v>59</v>
      </c>
      <c r="L20">
        <v>43.986069288784847</v>
      </c>
    </row>
    <row r="21" spans="2:15" x14ac:dyDescent="0.2">
      <c r="B21">
        <v>16</v>
      </c>
      <c r="C21" t="s">
        <v>22</v>
      </c>
      <c r="D21">
        <v>13.64775100484127</v>
      </c>
      <c r="E21">
        <v>9.1277371079402005</v>
      </c>
      <c r="F21">
        <v>4.7648964231843811</v>
      </c>
      <c r="G21">
        <v>27.540384535965853</v>
      </c>
      <c r="J21" t="s">
        <v>52</v>
      </c>
      <c r="K21" t="s">
        <v>60</v>
      </c>
      <c r="L21">
        <v>54.078949388644759</v>
      </c>
    </row>
    <row r="22" spans="2:15" x14ac:dyDescent="0.2">
      <c r="B22">
        <v>17</v>
      </c>
      <c r="C22" t="s">
        <v>23</v>
      </c>
      <c r="D22">
        <v>12.33925054543773</v>
      </c>
      <c r="E22">
        <v>9.1179848448446972</v>
      </c>
      <c r="F22">
        <v>4.3236726264040986</v>
      </c>
      <c r="G22">
        <v>25.780908016686524</v>
      </c>
      <c r="J22" t="s">
        <v>52</v>
      </c>
      <c r="K22" t="s">
        <v>61</v>
      </c>
      <c r="L22">
        <v>53.489782927255128</v>
      </c>
    </row>
    <row r="23" spans="2:15" x14ac:dyDescent="0.2">
      <c r="B23">
        <v>18</v>
      </c>
      <c r="C23" t="s">
        <v>24</v>
      </c>
      <c r="D23">
        <v>13.772266338103737</v>
      </c>
      <c r="E23">
        <v>9.7092751415586687</v>
      </c>
      <c r="F23">
        <v>4.3797977513658992</v>
      </c>
      <c r="G23">
        <v>27.861339231028303</v>
      </c>
      <c r="J23" t="s">
        <v>52</v>
      </c>
      <c r="K23" t="s">
        <v>62</v>
      </c>
      <c r="L23">
        <v>40.262124121768608</v>
      </c>
    </row>
    <row r="24" spans="2:15" x14ac:dyDescent="0.2">
      <c r="B24">
        <v>19</v>
      </c>
      <c r="C24" t="s">
        <v>25</v>
      </c>
      <c r="D24">
        <v>12.442512040647962</v>
      </c>
      <c r="E24">
        <v>8.9513200666828681</v>
      </c>
      <c r="F24">
        <v>4.8698087911634103</v>
      </c>
      <c r="G24">
        <v>26.263640898494241</v>
      </c>
      <c r="J24" t="s">
        <v>52</v>
      </c>
      <c r="K24" t="s">
        <v>63</v>
      </c>
      <c r="L24">
        <v>98.374316758124507</v>
      </c>
    </row>
    <row r="25" spans="2:15" x14ac:dyDescent="0.2">
      <c r="B25">
        <v>20</v>
      </c>
      <c r="C25" t="s">
        <v>26</v>
      </c>
      <c r="D25">
        <v>12.184422592840498</v>
      </c>
      <c r="E25">
        <v>9.281471187635697</v>
      </c>
      <c r="F25">
        <v>5.2867358720957194</v>
      </c>
      <c r="G25">
        <v>26.752629652571912</v>
      </c>
      <c r="J25" t="s">
        <v>52</v>
      </c>
      <c r="K25" t="s">
        <v>64</v>
      </c>
      <c r="L25">
        <v>25.07028483150928</v>
      </c>
    </row>
    <row r="26" spans="2:15" x14ac:dyDescent="0.2">
      <c r="B26">
        <v>21</v>
      </c>
      <c r="C26" t="s">
        <v>27</v>
      </c>
      <c r="D26">
        <v>14.69534128542017</v>
      </c>
      <c r="E26">
        <v>8.8199001557259091</v>
      </c>
      <c r="F26">
        <v>5.2771534325729048</v>
      </c>
      <c r="G26">
        <v>28.792394873718987</v>
      </c>
    </row>
    <row r="27" spans="2:15" x14ac:dyDescent="0.2">
      <c r="B27">
        <v>22</v>
      </c>
      <c r="C27" t="s">
        <v>28</v>
      </c>
      <c r="D27">
        <v>13.434948966466981</v>
      </c>
      <c r="E27">
        <v>9.2341850679034181</v>
      </c>
      <c r="F27">
        <v>4.8878056902432041</v>
      </c>
      <c r="G27">
        <v>27.556939724613606</v>
      </c>
    </row>
    <row r="28" spans="2:15" x14ac:dyDescent="0.2">
      <c r="B28">
        <v>23</v>
      </c>
      <c r="C28" t="s">
        <v>29</v>
      </c>
      <c r="D28">
        <v>12.924834134963701</v>
      </c>
      <c r="E28">
        <v>9.8024883988611009</v>
      </c>
      <c r="F28">
        <v>5.186670067918592</v>
      </c>
      <c r="G28">
        <v>27.913992601743395</v>
      </c>
    </row>
    <row r="29" spans="2:15" x14ac:dyDescent="0.2">
      <c r="B29">
        <v>24</v>
      </c>
      <c r="C29" t="s">
        <v>30</v>
      </c>
      <c r="D29">
        <v>14.195004764941201</v>
      </c>
      <c r="E29">
        <v>10.637995299418108</v>
      </c>
      <c r="F29">
        <v>5.3992370381764854</v>
      </c>
      <c r="G29">
        <v>30.232237102535798</v>
      </c>
    </row>
    <row r="30" spans="2:15" x14ac:dyDescent="0.2">
      <c r="B30">
        <v>25</v>
      </c>
      <c r="C30" t="s">
        <v>31</v>
      </c>
      <c r="D30">
        <v>14.093063895028008</v>
      </c>
      <c r="E30">
        <v>9.7949717323271734</v>
      </c>
      <c r="F30">
        <v>5.7450643535444561</v>
      </c>
      <c r="G30">
        <v>29.633099980899637</v>
      </c>
    </row>
    <row r="31" spans="2:15" x14ac:dyDescent="0.2">
      <c r="B31">
        <v>26</v>
      </c>
      <c r="C31" t="s">
        <v>32</v>
      </c>
      <c r="D31">
        <v>12.346118087950419</v>
      </c>
      <c r="E31">
        <v>9.9530938121644947</v>
      </c>
      <c r="F31">
        <v>5.5755367954231865</v>
      </c>
      <c r="G31">
        <v>27.874748695538099</v>
      </c>
    </row>
    <row r="32" spans="2:15" x14ac:dyDescent="0.2">
      <c r="B32">
        <v>27</v>
      </c>
      <c r="C32" t="s">
        <v>33</v>
      </c>
      <c r="D32">
        <v>13.198922235511283</v>
      </c>
      <c r="E32">
        <v>8.0560997542736583</v>
      </c>
      <c r="F32">
        <v>5.0303881243774518</v>
      </c>
      <c r="G32">
        <v>26.285410114162396</v>
      </c>
    </row>
    <row r="33" spans="1:7" x14ac:dyDescent="0.2">
      <c r="B33">
        <v>28</v>
      </c>
      <c r="C33" t="s">
        <v>34</v>
      </c>
      <c r="D33">
        <v>12.75426820262002</v>
      </c>
      <c r="E33">
        <v>9.1514691203805274</v>
      </c>
      <c r="F33">
        <v>4.8957457345531576</v>
      </c>
      <c r="G33">
        <v>26.801483057553703</v>
      </c>
    </row>
    <row r="34" spans="1:7" x14ac:dyDescent="0.2">
      <c r="B34">
        <v>29</v>
      </c>
      <c r="C34" t="s">
        <v>35</v>
      </c>
      <c r="D34">
        <v>13.534296096032326</v>
      </c>
      <c r="E34">
        <v>9.1542869415700263</v>
      </c>
      <c r="F34">
        <v>4.8565987770884202</v>
      </c>
      <c r="G34">
        <v>27.545181814690771</v>
      </c>
    </row>
    <row r="35" spans="1:7" x14ac:dyDescent="0.2">
      <c r="B35">
        <v>30</v>
      </c>
      <c r="C35" t="s">
        <v>36</v>
      </c>
      <c r="D35">
        <v>14.386219646626296</v>
      </c>
      <c r="E35">
        <v>9.4635305233076412</v>
      </c>
      <c r="F35">
        <v>4.9230700045843836</v>
      </c>
      <c r="G35">
        <v>28.772820174518323</v>
      </c>
    </row>
    <row r="36" spans="1:7" x14ac:dyDescent="0.2">
      <c r="B36" t="s">
        <v>6</v>
      </c>
      <c r="D36">
        <v>19.643772211264523</v>
      </c>
      <c r="E36">
        <v>8.8359416077419706</v>
      </c>
      <c r="F36">
        <v>4.2970789883763194</v>
      </c>
      <c r="G36">
        <v>32.776792807382812</v>
      </c>
    </row>
    <row r="42" spans="1:7" x14ac:dyDescent="0.2">
      <c r="A42" t="s">
        <v>5</v>
      </c>
      <c r="B42">
        <v>1</v>
      </c>
      <c r="C42" t="s">
        <v>88</v>
      </c>
      <c r="D42">
        <v>19.547917824469184</v>
      </c>
      <c r="E42">
        <v>6.3136834474209387</v>
      </c>
      <c r="F42">
        <v>7.882074975394544</v>
      </c>
      <c r="G42">
        <v>33.743676247284668</v>
      </c>
    </row>
    <row r="43" spans="1:7" x14ac:dyDescent="0.2">
      <c r="B43">
        <v>2</v>
      </c>
      <c r="C43" t="s">
        <v>89</v>
      </c>
      <c r="D43">
        <v>20.393315932915009</v>
      </c>
      <c r="E43">
        <v>9.4434097703494899</v>
      </c>
      <c r="F43">
        <v>7.7087684724413785</v>
      </c>
      <c r="G43">
        <v>37.545494175705876</v>
      </c>
    </row>
    <row r="44" spans="1:7" x14ac:dyDescent="0.2">
      <c r="B44">
        <v>3</v>
      </c>
      <c r="C44" t="s">
        <v>90</v>
      </c>
      <c r="D44">
        <v>20.54676787616766</v>
      </c>
      <c r="E44">
        <v>7.6384186197927066</v>
      </c>
      <c r="F44">
        <v>7.420007111639852</v>
      </c>
      <c r="G44">
        <v>35.605193607600221</v>
      </c>
    </row>
    <row r="45" spans="1:7" x14ac:dyDescent="0.2">
      <c r="B45">
        <v>4</v>
      </c>
      <c r="C45" t="s">
        <v>91</v>
      </c>
      <c r="D45">
        <v>19.684837626964011</v>
      </c>
      <c r="E45">
        <v>9.1333206883535727</v>
      </c>
      <c r="F45">
        <v>7.2437914124205394</v>
      </c>
      <c r="G45">
        <v>36.061949727738124</v>
      </c>
    </row>
    <row r="46" spans="1:7" x14ac:dyDescent="0.2">
      <c r="B46">
        <v>5</v>
      </c>
      <c r="C46" t="s">
        <v>92</v>
      </c>
      <c r="D46">
        <v>19.816301942771354</v>
      </c>
      <c r="E46">
        <v>8.6516294413072146</v>
      </c>
      <c r="F46">
        <v>8.4541933804918781</v>
      </c>
      <c r="G46">
        <v>36.922124764570448</v>
      </c>
    </row>
    <row r="47" spans="1:7" x14ac:dyDescent="0.2">
      <c r="B47">
        <v>6</v>
      </c>
      <c r="C47" t="s">
        <v>93</v>
      </c>
      <c r="D47">
        <v>19.340876457889806</v>
      </c>
      <c r="E47">
        <v>5.7306767841092823</v>
      </c>
      <c r="F47">
        <v>7.42743999853134</v>
      </c>
      <c r="G47">
        <v>32.498993240530424</v>
      </c>
    </row>
    <row r="48" spans="1:7" x14ac:dyDescent="0.2">
      <c r="B48">
        <v>7</v>
      </c>
      <c r="C48" t="s">
        <v>94</v>
      </c>
      <c r="D48">
        <v>19.722622238599406</v>
      </c>
      <c r="E48">
        <v>8.4833031970932815</v>
      </c>
      <c r="F48">
        <v>7.7486008477839965</v>
      </c>
      <c r="G48">
        <v>35.954526283476682</v>
      </c>
    </row>
    <row r="49" spans="2:7" x14ac:dyDescent="0.2">
      <c r="B49">
        <v>7</v>
      </c>
      <c r="C49" t="s">
        <v>95</v>
      </c>
      <c r="D49">
        <v>20.028023985440136</v>
      </c>
      <c r="E49">
        <v>8.1693549216910775</v>
      </c>
      <c r="F49">
        <v>8.6462672660403914</v>
      </c>
      <c r="G49">
        <v>36.843646173171607</v>
      </c>
    </row>
    <row r="50" spans="2:7" x14ac:dyDescent="0.2">
      <c r="B50">
        <v>9</v>
      </c>
      <c r="C50" t="s">
        <v>96</v>
      </c>
      <c r="D50">
        <v>19.424274866827691</v>
      </c>
      <c r="E50">
        <v>7.6186299065467873</v>
      </c>
      <c r="F50">
        <v>8.4585972832906702</v>
      </c>
      <c r="G50">
        <v>35.501502056665146</v>
      </c>
    </row>
    <row r="51" spans="2:7" x14ac:dyDescent="0.2">
      <c r="B51">
        <v>10</v>
      </c>
      <c r="C51" t="s">
        <v>97</v>
      </c>
      <c r="D51">
        <v>19.482020002118723</v>
      </c>
      <c r="E51">
        <v>7.2914704679890781</v>
      </c>
      <c r="F51">
        <v>7.3873223091575975</v>
      </c>
      <c r="G51">
        <v>34.160812779265399</v>
      </c>
    </row>
    <row r="52" spans="2:7" x14ac:dyDescent="0.2">
      <c r="B52">
        <v>11</v>
      </c>
      <c r="C52" t="s">
        <v>98</v>
      </c>
      <c r="D52">
        <v>17.574206748081846</v>
      </c>
      <c r="E52">
        <v>6.541482803444584</v>
      </c>
      <c r="F52">
        <v>6.1696170172992293</v>
      </c>
      <c r="G52">
        <v>30.285306568825661</v>
      </c>
    </row>
    <row r="53" spans="2:7" x14ac:dyDescent="0.2">
      <c r="B53">
        <v>12</v>
      </c>
      <c r="C53" t="s">
        <v>99</v>
      </c>
      <c r="D53">
        <v>20.184555276838857</v>
      </c>
      <c r="E53">
        <v>9.2405546333066066</v>
      </c>
      <c r="F53">
        <v>8.471696554741813</v>
      </c>
      <c r="G53">
        <v>37.896806464887277</v>
      </c>
    </row>
    <row r="54" spans="2:7" x14ac:dyDescent="0.2">
      <c r="B54">
        <v>13</v>
      </c>
      <c r="C54" t="s">
        <v>100</v>
      </c>
      <c r="D54">
        <v>19.583196492814793</v>
      </c>
      <c r="E54">
        <v>7.4372885673645701</v>
      </c>
      <c r="F54">
        <v>6.2534479877146927</v>
      </c>
      <c r="G54">
        <v>33.273933047894054</v>
      </c>
    </row>
    <row r="55" spans="2:7" x14ac:dyDescent="0.2">
      <c r="B55">
        <v>14</v>
      </c>
      <c r="C55" t="s">
        <v>101</v>
      </c>
      <c r="D55">
        <v>20.114534984479672</v>
      </c>
      <c r="E55">
        <v>8.8677773240837503</v>
      </c>
      <c r="F55">
        <v>7.7928072825450814</v>
      </c>
      <c r="G55">
        <v>36.775119591108506</v>
      </c>
    </row>
    <row r="56" spans="2:7" x14ac:dyDescent="0.2">
      <c r="B56">
        <v>15</v>
      </c>
      <c r="C56" t="s">
        <v>102</v>
      </c>
      <c r="D56">
        <v>20.130979514030578</v>
      </c>
      <c r="E56">
        <v>8.4824392713779329</v>
      </c>
      <c r="F56">
        <v>7.972974797347411</v>
      </c>
      <c r="G56">
        <v>36.586393582755925</v>
      </c>
    </row>
    <row r="57" spans="2:7" x14ac:dyDescent="0.2">
      <c r="B57">
        <v>16</v>
      </c>
      <c r="C57" t="s">
        <v>103</v>
      </c>
      <c r="D57">
        <v>20.154258396170274</v>
      </c>
      <c r="E57">
        <v>8.8008838410177521</v>
      </c>
      <c r="F57">
        <v>8.3932837528454538</v>
      </c>
      <c r="G57">
        <v>37.348425990033483</v>
      </c>
    </row>
    <row r="58" spans="2:7" x14ac:dyDescent="0.2">
      <c r="B58">
        <v>18</v>
      </c>
      <c r="C58" t="s">
        <v>104</v>
      </c>
      <c r="D58">
        <v>20.294839617502305</v>
      </c>
      <c r="E58">
        <v>6.858529476370431</v>
      </c>
      <c r="F58">
        <v>6.9820742869719155</v>
      </c>
      <c r="G58">
        <v>34.135443380844649</v>
      </c>
    </row>
    <row r="59" spans="2:7" x14ac:dyDescent="0.2">
      <c r="B59">
        <v>19</v>
      </c>
      <c r="C59" t="s">
        <v>105</v>
      </c>
      <c r="D59">
        <v>19.783274129687694</v>
      </c>
      <c r="E59">
        <v>8.3519299463362078</v>
      </c>
      <c r="F59">
        <v>7.7179563760622703</v>
      </c>
      <c r="G59">
        <v>35.853160452086172</v>
      </c>
    </row>
    <row r="60" spans="2:7" x14ac:dyDescent="0.2">
      <c r="B60">
        <v>20</v>
      </c>
      <c r="C60" t="s">
        <v>106</v>
      </c>
      <c r="D60">
        <v>19.134740619261386</v>
      </c>
      <c r="E60">
        <v>3.8969559949016648</v>
      </c>
      <c r="F60">
        <v>5.8520451744541635</v>
      </c>
      <c r="G60">
        <v>28.883741788617215</v>
      </c>
    </row>
    <row r="61" spans="2:7" x14ac:dyDescent="0.2">
      <c r="B61">
        <v>21</v>
      </c>
      <c r="C61" t="s">
        <v>107</v>
      </c>
      <c r="D61">
        <v>14.33218090018266</v>
      </c>
      <c r="E61">
        <v>5.3867346554033588</v>
      </c>
      <c r="F61">
        <v>8.4932965565956096</v>
      </c>
      <c r="G61">
        <v>28.212212112181628</v>
      </c>
    </row>
    <row r="62" spans="2:7" x14ac:dyDescent="0.2">
      <c r="B62">
        <v>22</v>
      </c>
      <c r="C62" t="s">
        <v>108</v>
      </c>
      <c r="D62">
        <v>19.834720884801854</v>
      </c>
      <c r="E62">
        <v>7.0338385647217896</v>
      </c>
      <c r="F62">
        <v>8.1296898572843705</v>
      </c>
      <c r="G62">
        <v>34.998249306808013</v>
      </c>
    </row>
    <row r="63" spans="2:7" x14ac:dyDescent="0.2">
      <c r="B63">
        <v>23</v>
      </c>
      <c r="C63" t="s">
        <v>109</v>
      </c>
      <c r="D63">
        <v>18.718671235447548</v>
      </c>
      <c r="E63">
        <v>5.6283995049816316</v>
      </c>
      <c r="F63">
        <v>6.3071280635939786</v>
      </c>
      <c r="G63">
        <v>30.65419880402316</v>
      </c>
    </row>
    <row r="64" spans="2:7" x14ac:dyDescent="0.2">
      <c r="B64">
        <v>25</v>
      </c>
      <c r="C64" t="s">
        <v>110</v>
      </c>
      <c r="D64">
        <v>17.895681651659014</v>
      </c>
      <c r="E64">
        <v>6.5938857416901335</v>
      </c>
      <c r="F64">
        <v>7.7746358730497596</v>
      </c>
      <c r="G64">
        <v>32.264203266398908</v>
      </c>
    </row>
    <row r="65" spans="2:7" x14ac:dyDescent="0.2">
      <c r="B65">
        <v>26</v>
      </c>
      <c r="C65" t="s">
        <v>111</v>
      </c>
      <c r="D65">
        <v>19.988174063776057</v>
      </c>
      <c r="E65">
        <v>8.6723871366378908</v>
      </c>
      <c r="F65">
        <v>8.6401843750246812</v>
      </c>
      <c r="G65">
        <v>37.300745575438626</v>
      </c>
    </row>
    <row r="66" spans="2:7" x14ac:dyDescent="0.2">
      <c r="B66">
        <v>27</v>
      </c>
      <c r="C66" t="s">
        <v>112</v>
      </c>
      <c r="D66">
        <v>19.331768612691331</v>
      </c>
      <c r="E66">
        <v>8.8199400282462754</v>
      </c>
      <c r="F66">
        <v>8.1470464039961854</v>
      </c>
      <c r="G66">
        <v>36.298755044933792</v>
      </c>
    </row>
    <row r="67" spans="2:7" x14ac:dyDescent="0.2">
      <c r="B67">
        <v>28</v>
      </c>
      <c r="C67" t="s">
        <v>113</v>
      </c>
      <c r="D67">
        <v>19.861396394873811</v>
      </c>
      <c r="E67">
        <v>8.2203094226443714</v>
      </c>
      <c r="F67">
        <v>6.9931539195758763</v>
      </c>
      <c r="G67">
        <v>35.074859737094059</v>
      </c>
    </row>
    <row r="68" spans="2:7" x14ac:dyDescent="0.2">
      <c r="B68">
        <v>29</v>
      </c>
      <c r="C68" t="s">
        <v>114</v>
      </c>
      <c r="D68">
        <v>18.947673948996567</v>
      </c>
      <c r="E68">
        <v>8.6327669480760498</v>
      </c>
      <c r="F68">
        <v>7.5924149607900144</v>
      </c>
      <c r="G68">
        <v>35.172855857862629</v>
      </c>
    </row>
    <row r="69" spans="2:7" x14ac:dyDescent="0.2">
      <c r="B69">
        <v>30</v>
      </c>
      <c r="C69" t="s">
        <v>115</v>
      </c>
      <c r="D69">
        <v>18.841875932278864</v>
      </c>
      <c r="E69">
        <v>6.5406008398326181</v>
      </c>
      <c r="F69">
        <v>7.5712937229737607</v>
      </c>
      <c r="G69">
        <v>32.953770495085244</v>
      </c>
    </row>
    <row r="73" spans="2:7" x14ac:dyDescent="0.2">
      <c r="F73" t="s">
        <v>354</v>
      </c>
      <c r="G73">
        <f>MEDIAN(G6:G69)</f>
        <v>30.688307624638536</v>
      </c>
    </row>
    <row r="74" spans="2:7" x14ac:dyDescent="0.2">
      <c r="F74" t="s">
        <v>355</v>
      </c>
      <c r="G74">
        <f>MIN(G6:G68)</f>
        <v>24.768211100422356</v>
      </c>
    </row>
    <row r="75" spans="2:7" x14ac:dyDescent="0.2">
      <c r="F75" t="s">
        <v>356</v>
      </c>
      <c r="G75">
        <f>MAX(G6:G68)</f>
        <v>37.896806464887277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66A0-D14F-5645-B4CC-516E882F9463}">
  <dimension ref="A1:E57"/>
  <sheetViews>
    <sheetView workbookViewId="0">
      <selection activeCell="G34" sqref="G34"/>
    </sheetView>
  </sheetViews>
  <sheetFormatPr baseColWidth="10" defaultRowHeight="16" x14ac:dyDescent="0.2"/>
  <sheetData>
    <row r="1" spans="1:5" x14ac:dyDescent="0.2">
      <c r="A1" t="s">
        <v>155</v>
      </c>
      <c r="B1" t="s">
        <v>39</v>
      </c>
      <c r="C1" t="s">
        <v>195</v>
      </c>
      <c r="D1" t="s">
        <v>151</v>
      </c>
      <c r="E1" t="s">
        <v>38</v>
      </c>
    </row>
    <row r="2" spans="1:5" x14ac:dyDescent="0.2">
      <c r="A2" t="s">
        <v>75</v>
      </c>
      <c r="B2" t="s">
        <v>211</v>
      </c>
      <c r="C2">
        <v>-3</v>
      </c>
      <c r="D2">
        <v>1E-3</v>
      </c>
    </row>
    <row r="3" spans="1:5" x14ac:dyDescent="0.2">
      <c r="A3" t="s">
        <v>75</v>
      </c>
      <c r="B3" t="s">
        <v>211</v>
      </c>
      <c r="C3">
        <v>0</v>
      </c>
      <c r="D3">
        <v>7.198463120000001E-2</v>
      </c>
    </row>
    <row r="4" spans="1:5" x14ac:dyDescent="0.2">
      <c r="A4" t="s">
        <v>75</v>
      </c>
      <c r="B4" t="s">
        <v>211</v>
      </c>
      <c r="C4">
        <v>0</v>
      </c>
      <c r="D4">
        <v>1.9524755364102569E-3</v>
      </c>
      <c r="E4">
        <v>4.9769707013463005E-4</v>
      </c>
    </row>
    <row r="5" spans="1:5" x14ac:dyDescent="0.2">
      <c r="A5" t="s">
        <v>75</v>
      </c>
      <c r="B5" t="s">
        <v>211</v>
      </c>
      <c r="C5">
        <v>1</v>
      </c>
      <c r="D5">
        <v>7.2459070030769243E-3</v>
      </c>
      <c r="E5">
        <v>3.4548321399270406E-3</v>
      </c>
    </row>
    <row r="6" spans="1:5" x14ac:dyDescent="0.2">
      <c r="A6" t="s">
        <v>75</v>
      </c>
      <c r="B6" t="s">
        <v>211</v>
      </c>
      <c r="C6">
        <v>2</v>
      </c>
      <c r="D6">
        <v>2.059172664615385E-3</v>
      </c>
      <c r="E6">
        <v>7.6774971903204752E-4</v>
      </c>
    </row>
    <row r="7" spans="1:5" x14ac:dyDescent="0.2">
      <c r="A7" t="s">
        <v>75</v>
      </c>
      <c r="B7" t="s">
        <v>211</v>
      </c>
      <c r="C7">
        <v>3</v>
      </c>
      <c r="D7">
        <v>1.410769502564103E-3</v>
      </c>
      <c r="E7">
        <v>1.2417487788463095E-3</v>
      </c>
    </row>
    <row r="8" spans="1:5" x14ac:dyDescent="0.2">
      <c r="A8" t="s">
        <v>75</v>
      </c>
      <c r="B8" t="s">
        <v>211</v>
      </c>
      <c r="C8">
        <v>4</v>
      </c>
      <c r="D8">
        <v>3.1202772851282056E-3</v>
      </c>
      <c r="E8">
        <v>2.4436274753137938E-3</v>
      </c>
    </row>
    <row r="9" spans="1:5" x14ac:dyDescent="0.2">
      <c r="A9" t="s">
        <v>75</v>
      </c>
      <c r="B9" t="s">
        <v>212</v>
      </c>
      <c r="C9">
        <v>-3</v>
      </c>
      <c r="D9">
        <v>1E-3</v>
      </c>
    </row>
    <row r="10" spans="1:5" x14ac:dyDescent="0.2">
      <c r="A10" t="s">
        <v>75</v>
      </c>
      <c r="B10" t="s">
        <v>212</v>
      </c>
      <c r="C10">
        <v>0</v>
      </c>
      <c r="D10">
        <v>0.25124913120000003</v>
      </c>
    </row>
    <row r="11" spans="1:5" x14ac:dyDescent="0.2">
      <c r="A11" t="s">
        <v>75</v>
      </c>
      <c r="B11" t="s">
        <v>212</v>
      </c>
      <c r="C11">
        <v>0</v>
      </c>
      <c r="D11">
        <v>2.8974051282051293E-3</v>
      </c>
      <c r="E11">
        <v>1.2518014444320149E-3</v>
      </c>
    </row>
    <row r="12" spans="1:5" x14ac:dyDescent="0.2">
      <c r="A12" t="s">
        <v>75</v>
      </c>
      <c r="B12" t="s">
        <v>212</v>
      </c>
      <c r="C12">
        <v>1</v>
      </c>
      <c r="D12">
        <v>1.3425501126153849E-2</v>
      </c>
      <c r="E12">
        <v>2.9898392226951425E-3</v>
      </c>
    </row>
    <row r="13" spans="1:5" x14ac:dyDescent="0.2">
      <c r="A13" t="s">
        <v>75</v>
      </c>
      <c r="B13" t="s">
        <v>212</v>
      </c>
      <c r="C13">
        <v>2</v>
      </c>
      <c r="D13">
        <v>4.9783624464615379E-2</v>
      </c>
      <c r="E13">
        <v>3.05166962852988E-3</v>
      </c>
    </row>
    <row r="14" spans="1:5" x14ac:dyDescent="0.2">
      <c r="A14" t="s">
        <v>75</v>
      </c>
      <c r="B14" t="s">
        <v>212</v>
      </c>
      <c r="C14">
        <v>3</v>
      </c>
      <c r="D14">
        <v>0.11979942138769233</v>
      </c>
      <c r="E14">
        <v>2.2955254905883474E-2</v>
      </c>
    </row>
    <row r="15" spans="1:5" x14ac:dyDescent="0.2">
      <c r="A15" t="s">
        <v>75</v>
      </c>
      <c r="B15" t="s">
        <v>212</v>
      </c>
      <c r="C15">
        <v>4</v>
      </c>
      <c r="D15">
        <v>0.52286073984923076</v>
      </c>
      <c r="E15">
        <v>3.0231322389448811E-2</v>
      </c>
    </row>
    <row r="16" spans="1:5" x14ac:dyDescent="0.2">
      <c r="A16" t="s">
        <v>75</v>
      </c>
      <c r="B16" t="s">
        <v>213</v>
      </c>
      <c r="C16">
        <v>-3</v>
      </c>
      <c r="D16">
        <v>1E-3</v>
      </c>
    </row>
    <row r="17" spans="1:5" x14ac:dyDescent="0.2">
      <c r="A17" t="s">
        <v>75</v>
      </c>
      <c r="B17" t="s">
        <v>213</v>
      </c>
      <c r="C17">
        <v>0</v>
      </c>
      <c r="D17">
        <v>0.36036037120000003</v>
      </c>
    </row>
    <row r="18" spans="1:5" x14ac:dyDescent="0.2">
      <c r="A18" t="s">
        <v>75</v>
      </c>
      <c r="B18" t="s">
        <v>213</v>
      </c>
      <c r="C18">
        <v>0</v>
      </c>
      <c r="D18">
        <v>3.1942058235897449E-3</v>
      </c>
      <c r="E18">
        <v>1.5810364515995396E-4</v>
      </c>
    </row>
    <row r="19" spans="1:5" x14ac:dyDescent="0.2">
      <c r="A19" t="s">
        <v>75</v>
      </c>
      <c r="B19" t="s">
        <v>213</v>
      </c>
      <c r="C19">
        <v>1</v>
      </c>
      <c r="D19">
        <v>1.4933594269743592E-2</v>
      </c>
      <c r="E19">
        <v>3.2546386258049001E-4</v>
      </c>
    </row>
    <row r="20" spans="1:5" x14ac:dyDescent="0.2">
      <c r="A20" t="s">
        <v>75</v>
      </c>
      <c r="B20" t="s">
        <v>213</v>
      </c>
      <c r="C20">
        <v>2</v>
      </c>
      <c r="D20">
        <v>2.4946526823589745E-2</v>
      </c>
      <c r="E20">
        <v>9.8775122799941236E-4</v>
      </c>
    </row>
    <row r="21" spans="1:5" x14ac:dyDescent="0.2">
      <c r="A21" t="s">
        <v>75</v>
      </c>
      <c r="B21" t="s">
        <v>213</v>
      </c>
      <c r="C21">
        <v>3</v>
      </c>
      <c r="D21">
        <v>3.1802532208205135E-2</v>
      </c>
      <c r="E21">
        <v>5.6061246136527524E-3</v>
      </c>
    </row>
    <row r="22" spans="1:5" x14ac:dyDescent="0.2">
      <c r="A22" t="s">
        <v>75</v>
      </c>
      <c r="B22" t="s">
        <v>213</v>
      </c>
      <c r="C22">
        <v>4</v>
      </c>
      <c r="D22">
        <v>2.106534930051282E-2</v>
      </c>
      <c r="E22">
        <v>1.0922028104612872E-2</v>
      </c>
    </row>
    <row r="23" spans="1:5" x14ac:dyDescent="0.2">
      <c r="A23" t="s">
        <v>52</v>
      </c>
      <c r="B23" t="s">
        <v>214</v>
      </c>
      <c r="C23">
        <v>-2</v>
      </c>
      <c r="D23">
        <v>4.0000000000000001E-3</v>
      </c>
    </row>
    <row r="24" spans="1:5" x14ac:dyDescent="0.2">
      <c r="A24" t="s">
        <v>52</v>
      </c>
      <c r="B24" t="s">
        <v>214</v>
      </c>
      <c r="C24">
        <v>0</v>
      </c>
      <c r="D24">
        <v>0.20108819569199998</v>
      </c>
    </row>
    <row r="25" spans="1:5" x14ac:dyDescent="0.2">
      <c r="A25" t="s">
        <v>52</v>
      </c>
      <c r="B25" t="s">
        <v>214</v>
      </c>
      <c r="C25">
        <v>0</v>
      </c>
      <c r="D25">
        <v>5.2461810738461548E-3</v>
      </c>
      <c r="E25">
        <v>9.940109855982723E-4</v>
      </c>
    </row>
    <row r="26" spans="1:5" x14ac:dyDescent="0.2">
      <c r="A26" t="s">
        <v>52</v>
      </c>
      <c r="B26" t="s">
        <v>214</v>
      </c>
      <c r="C26">
        <v>1</v>
      </c>
      <c r="D26">
        <v>1.676116160205128E-2</v>
      </c>
      <c r="E26">
        <v>6.9174332542032045E-4</v>
      </c>
    </row>
    <row r="27" spans="1:5" x14ac:dyDescent="0.2">
      <c r="A27" t="s">
        <v>52</v>
      </c>
      <c r="B27" t="s">
        <v>214</v>
      </c>
      <c r="C27">
        <v>2</v>
      </c>
      <c r="D27">
        <v>1.8623713355897437E-2</v>
      </c>
      <c r="E27">
        <v>4.4436822259805945E-3</v>
      </c>
    </row>
    <row r="28" spans="1:5" x14ac:dyDescent="0.2">
      <c r="A28" t="s">
        <v>52</v>
      </c>
      <c r="B28" t="s">
        <v>214</v>
      </c>
      <c r="C28">
        <v>3</v>
      </c>
      <c r="D28">
        <v>9.4055011917948735E-3</v>
      </c>
      <c r="E28">
        <v>2.0763938745477373E-3</v>
      </c>
    </row>
    <row r="29" spans="1:5" x14ac:dyDescent="0.2">
      <c r="A29" t="s">
        <v>52</v>
      </c>
      <c r="B29" t="s">
        <v>214</v>
      </c>
      <c r="C29">
        <v>4</v>
      </c>
      <c r="D29">
        <v>2.466603875589744E-2</v>
      </c>
      <c r="E29">
        <v>3.1560633901141617E-2</v>
      </c>
    </row>
    <row r="30" spans="1:5" x14ac:dyDescent="0.2">
      <c r="A30" t="s">
        <v>52</v>
      </c>
      <c r="B30" t="s">
        <v>215</v>
      </c>
      <c r="C30">
        <v>-2</v>
      </c>
      <c r="D30">
        <v>4.0000000000000001E-3</v>
      </c>
    </row>
    <row r="31" spans="1:5" x14ac:dyDescent="0.2">
      <c r="A31" t="s">
        <v>52</v>
      </c>
      <c r="B31" t="s">
        <v>215</v>
      </c>
      <c r="C31">
        <v>0</v>
      </c>
      <c r="D31">
        <v>0.18777465169199997</v>
      </c>
    </row>
    <row r="32" spans="1:5" x14ac:dyDescent="0.2">
      <c r="A32" t="s">
        <v>52</v>
      </c>
      <c r="B32" t="s">
        <v>215</v>
      </c>
      <c r="C32">
        <v>0</v>
      </c>
      <c r="D32">
        <v>5.0404767692307706E-3</v>
      </c>
      <c r="E32">
        <v>4.2585748438147604E-4</v>
      </c>
    </row>
    <row r="33" spans="1:5" x14ac:dyDescent="0.2">
      <c r="A33" t="s">
        <v>52</v>
      </c>
      <c r="B33" t="s">
        <v>215</v>
      </c>
      <c r="C33">
        <v>1</v>
      </c>
      <c r="D33">
        <v>1.4626552971282056E-2</v>
      </c>
      <c r="E33">
        <v>6.0965384234342075E-4</v>
      </c>
    </row>
    <row r="34" spans="1:5" x14ac:dyDescent="0.2">
      <c r="A34" t="s">
        <v>52</v>
      </c>
      <c r="B34" t="s">
        <v>215</v>
      </c>
      <c r="C34">
        <v>2</v>
      </c>
      <c r="D34">
        <v>4.8766825899487186E-2</v>
      </c>
      <c r="E34">
        <v>2.6271583501201994E-3</v>
      </c>
    </row>
    <row r="35" spans="1:5" x14ac:dyDescent="0.2">
      <c r="A35" t="s">
        <v>52</v>
      </c>
      <c r="B35" t="s">
        <v>215</v>
      </c>
      <c r="C35">
        <v>3</v>
      </c>
      <c r="D35">
        <v>0.6212779864123078</v>
      </c>
      <c r="E35">
        <v>0.10055239628000147</v>
      </c>
    </row>
    <row r="36" spans="1:5" x14ac:dyDescent="0.2">
      <c r="A36" t="s">
        <v>52</v>
      </c>
      <c r="B36" t="s">
        <v>215</v>
      </c>
      <c r="C36">
        <v>4</v>
      </c>
      <c r="D36">
        <v>1.6010562289764103</v>
      </c>
      <c r="E36">
        <v>0.10112455282095051</v>
      </c>
    </row>
    <row r="37" spans="1:5" x14ac:dyDescent="0.2">
      <c r="A37" t="s">
        <v>52</v>
      </c>
      <c r="B37" t="s">
        <v>216</v>
      </c>
      <c r="C37">
        <v>-2</v>
      </c>
      <c r="D37">
        <v>4.0000000000000001E-3</v>
      </c>
    </row>
    <row r="38" spans="1:5" x14ac:dyDescent="0.2">
      <c r="A38" t="s">
        <v>52</v>
      </c>
      <c r="B38" t="s">
        <v>216</v>
      </c>
      <c r="C38">
        <v>0</v>
      </c>
      <c r="D38">
        <v>8.3274203879999995E-2</v>
      </c>
    </row>
    <row r="39" spans="1:5" x14ac:dyDescent="0.2">
      <c r="A39" t="s">
        <v>52</v>
      </c>
      <c r="B39" t="s">
        <v>216</v>
      </c>
      <c r="C39">
        <v>0</v>
      </c>
      <c r="D39">
        <v>3.6210156666666667E-3</v>
      </c>
      <c r="E39">
        <v>1.2605277436048114E-3</v>
      </c>
    </row>
    <row r="40" spans="1:5" x14ac:dyDescent="0.2">
      <c r="A40" t="s">
        <v>52</v>
      </c>
      <c r="B40" t="s">
        <v>216</v>
      </c>
      <c r="C40">
        <v>1</v>
      </c>
      <c r="D40">
        <v>9.5323505866666668E-3</v>
      </c>
      <c r="E40">
        <v>3.0947515054573623E-3</v>
      </c>
    </row>
    <row r="41" spans="1:5" x14ac:dyDescent="0.2">
      <c r="A41" t="s">
        <v>52</v>
      </c>
      <c r="B41" t="s">
        <v>216</v>
      </c>
      <c r="C41">
        <v>2</v>
      </c>
      <c r="D41">
        <v>4.2261502720000003E-2</v>
      </c>
      <c r="E41">
        <v>4.1472753443213863E-3</v>
      </c>
    </row>
    <row r="42" spans="1:5" x14ac:dyDescent="0.2">
      <c r="A42" t="s">
        <v>52</v>
      </c>
      <c r="B42" t="s">
        <v>216</v>
      </c>
      <c r="C42">
        <v>3</v>
      </c>
      <c r="D42">
        <v>0.27362312805333328</v>
      </c>
      <c r="E42">
        <v>1.3071931850430879E-2</v>
      </c>
    </row>
    <row r="43" spans="1:5" x14ac:dyDescent="0.2">
      <c r="A43" t="s">
        <v>52</v>
      </c>
      <c r="B43" t="s">
        <v>216</v>
      </c>
      <c r="C43">
        <v>4</v>
      </c>
      <c r="D43">
        <v>0.93968797871999998</v>
      </c>
      <c r="E43">
        <v>0.12057749366297091</v>
      </c>
    </row>
    <row r="44" spans="1:5" x14ac:dyDescent="0.2">
      <c r="A44" t="s">
        <v>52</v>
      </c>
      <c r="B44" s="2" t="s">
        <v>6</v>
      </c>
      <c r="C44">
        <v>-2</v>
      </c>
      <c r="D44">
        <v>4.0000000000000001E-3</v>
      </c>
    </row>
    <row r="45" spans="1:5" x14ac:dyDescent="0.2">
      <c r="A45" t="s">
        <v>52</v>
      </c>
      <c r="B45" s="2" t="s">
        <v>6</v>
      </c>
      <c r="C45">
        <v>0</v>
      </c>
      <c r="D45">
        <v>7.8633871879999998E-2</v>
      </c>
    </row>
    <row r="46" spans="1:5" x14ac:dyDescent="0.2">
      <c r="A46" t="s">
        <v>52</v>
      </c>
      <c r="B46" s="2" t="s">
        <v>6</v>
      </c>
      <c r="C46">
        <v>0</v>
      </c>
      <c r="D46">
        <v>4.462314822564103E-3</v>
      </c>
      <c r="E46">
        <v>6.4566778922109489E-4</v>
      </c>
    </row>
    <row r="47" spans="1:5" x14ac:dyDescent="0.2">
      <c r="A47" t="s">
        <v>52</v>
      </c>
      <c r="B47" s="2" t="s">
        <v>6</v>
      </c>
      <c r="C47">
        <v>1</v>
      </c>
      <c r="D47">
        <v>1.1658817627692311E-2</v>
      </c>
      <c r="E47">
        <v>2.9521543542722242E-3</v>
      </c>
    </row>
    <row r="48" spans="1:5" x14ac:dyDescent="0.2">
      <c r="A48" t="s">
        <v>52</v>
      </c>
      <c r="B48" s="2" t="s">
        <v>6</v>
      </c>
      <c r="C48">
        <v>2</v>
      </c>
      <c r="D48">
        <v>4.0515675437948713E-2</v>
      </c>
      <c r="E48">
        <v>1.249671601501412E-3</v>
      </c>
    </row>
    <row r="49" spans="1:5" x14ac:dyDescent="0.2">
      <c r="A49" t="s">
        <v>52</v>
      </c>
      <c r="B49" s="2" t="s">
        <v>6</v>
      </c>
      <c r="C49">
        <v>3</v>
      </c>
      <c r="D49">
        <v>0.26614701307897431</v>
      </c>
      <c r="E49">
        <v>1.9299835286437098E-2</v>
      </c>
    </row>
    <row r="50" spans="1:5" x14ac:dyDescent="0.2">
      <c r="A50" t="s">
        <v>52</v>
      </c>
      <c r="B50" s="2" t="s">
        <v>6</v>
      </c>
      <c r="C50">
        <v>4</v>
      </c>
      <c r="D50">
        <v>1.0444820535917947</v>
      </c>
      <c r="E50">
        <v>7.150168830479138E-2</v>
      </c>
    </row>
    <row r="51" spans="1:5" x14ac:dyDescent="0.2">
      <c r="A51" t="s">
        <v>75</v>
      </c>
      <c r="B51" s="2" t="s">
        <v>6</v>
      </c>
      <c r="C51">
        <v>-3</v>
      </c>
      <c r="D51">
        <v>1E-3</v>
      </c>
    </row>
    <row r="52" spans="1:5" x14ac:dyDescent="0.2">
      <c r="A52" t="s">
        <v>75</v>
      </c>
      <c r="B52" s="2" t="s">
        <v>6</v>
      </c>
      <c r="C52">
        <v>0</v>
      </c>
      <c r="D52">
        <v>0.1044265232</v>
      </c>
    </row>
    <row r="53" spans="1:5" x14ac:dyDescent="0.2">
      <c r="A53" t="s">
        <v>75</v>
      </c>
      <c r="B53" s="2" t="s">
        <v>6</v>
      </c>
      <c r="C53">
        <v>0</v>
      </c>
      <c r="D53">
        <v>3.4541699723076927E-3</v>
      </c>
      <c r="E53">
        <v>1.194580633070115E-3</v>
      </c>
    </row>
    <row r="54" spans="1:5" x14ac:dyDescent="0.2">
      <c r="A54" t="s">
        <v>75</v>
      </c>
      <c r="B54" s="2" t="s">
        <v>6</v>
      </c>
      <c r="C54">
        <v>1</v>
      </c>
      <c r="D54">
        <v>1.0673799038974361E-2</v>
      </c>
      <c r="E54">
        <v>3.8486203616679509E-3</v>
      </c>
    </row>
    <row r="55" spans="1:5" x14ac:dyDescent="0.2">
      <c r="A55" t="s">
        <v>75</v>
      </c>
      <c r="B55" s="2" t="s">
        <v>6</v>
      </c>
      <c r="C55">
        <v>2</v>
      </c>
      <c r="D55">
        <v>3.5821663182564106E-2</v>
      </c>
      <c r="E55">
        <v>8.8907151400503034E-3</v>
      </c>
    </row>
    <row r="56" spans="1:5" x14ac:dyDescent="0.2">
      <c r="A56" t="s">
        <v>75</v>
      </c>
      <c r="B56" s="2" t="s">
        <v>6</v>
      </c>
      <c r="C56">
        <v>3</v>
      </c>
      <c r="D56">
        <v>0.17648544333641025</v>
      </c>
      <c r="E56">
        <v>4.2540287675687606E-2</v>
      </c>
    </row>
    <row r="57" spans="1:5" x14ac:dyDescent="0.2">
      <c r="A57" t="s">
        <v>75</v>
      </c>
      <c r="B57" s="2" t="s">
        <v>6</v>
      </c>
      <c r="C57">
        <v>4</v>
      </c>
      <c r="D57">
        <v>0.69092254113128204</v>
      </c>
      <c r="E57">
        <v>0.2000613228996164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501FA-65BB-584D-95C7-86F4FC4D4AB3}">
  <dimension ref="A1:AL175"/>
  <sheetViews>
    <sheetView topLeftCell="A63" zoomScale="83" zoomScaleNormal="83" workbookViewId="0">
      <selection activeCell="A81" sqref="A81:XFD81"/>
    </sheetView>
  </sheetViews>
  <sheetFormatPr baseColWidth="10" defaultRowHeight="16" x14ac:dyDescent="0.2"/>
  <sheetData>
    <row r="1" spans="1:38" x14ac:dyDescent="0.2">
      <c r="A1" s="3" t="s">
        <v>67</v>
      </c>
      <c r="B1" s="4">
        <v>1.5</v>
      </c>
      <c r="C1" s="4">
        <v>4.5</v>
      </c>
      <c r="D1" s="4">
        <v>7.5</v>
      </c>
      <c r="E1" s="4">
        <v>10.5</v>
      </c>
      <c r="F1" s="4">
        <v>13.5</v>
      </c>
      <c r="G1" s="4">
        <v>16.5</v>
      </c>
      <c r="H1" s="4">
        <v>19.5</v>
      </c>
      <c r="I1" s="4">
        <v>22.5</v>
      </c>
      <c r="J1" s="4">
        <v>25.5</v>
      </c>
      <c r="K1" s="4">
        <v>28.5</v>
      </c>
      <c r="L1" s="4">
        <v>31.5</v>
      </c>
      <c r="M1" s="4">
        <v>34.5</v>
      </c>
      <c r="N1" s="4">
        <v>37.5</v>
      </c>
      <c r="O1" s="5">
        <v>40.5</v>
      </c>
      <c r="W1" s="12" t="s">
        <v>75</v>
      </c>
      <c r="X1">
        <v>1.5</v>
      </c>
      <c r="Y1">
        <v>4.5</v>
      </c>
      <c r="Z1">
        <v>7.5</v>
      </c>
      <c r="AA1">
        <v>10.5</v>
      </c>
      <c r="AB1">
        <v>13.5</v>
      </c>
      <c r="AC1">
        <v>16.5</v>
      </c>
      <c r="AD1">
        <v>19.5</v>
      </c>
      <c r="AE1">
        <v>22.5</v>
      </c>
      <c r="AF1">
        <v>25.5</v>
      </c>
      <c r="AG1">
        <v>28.5</v>
      </c>
      <c r="AH1">
        <v>31.5</v>
      </c>
      <c r="AI1">
        <v>34.5</v>
      </c>
      <c r="AJ1">
        <v>37.5</v>
      </c>
      <c r="AK1">
        <v>40.5</v>
      </c>
      <c r="AL1" t="s">
        <v>248</v>
      </c>
    </row>
    <row r="2" spans="1:38" x14ac:dyDescent="0.2">
      <c r="A2" s="3" t="s">
        <v>53</v>
      </c>
      <c r="B2" s="3">
        <v>1.68633286</v>
      </c>
      <c r="C2" s="3">
        <v>1.6671008199999999</v>
      </c>
      <c r="D2" s="3">
        <v>1.7415166200000001</v>
      </c>
      <c r="E2" s="3">
        <v>1.5808986199999999</v>
      </c>
      <c r="F2" s="3">
        <v>1.76883462</v>
      </c>
      <c r="G2" s="3">
        <v>1.91032409</v>
      </c>
      <c r="H2" s="3">
        <v>1.70922972</v>
      </c>
      <c r="I2" s="3">
        <v>1.7342418500000001</v>
      </c>
      <c r="J2" s="3">
        <v>1.7387218099999999</v>
      </c>
      <c r="K2" s="3">
        <v>1.8445042679999999</v>
      </c>
      <c r="L2" s="3">
        <v>1.7870864829999999</v>
      </c>
      <c r="M2" s="3">
        <v>1.776886811</v>
      </c>
      <c r="N2" s="3">
        <v>1.712426811</v>
      </c>
      <c r="O2" s="3">
        <v>1.6947894779999999</v>
      </c>
      <c r="P2" s="30">
        <f>AVERAGE(B2:D2)</f>
        <v>1.698316766666667</v>
      </c>
      <c r="W2" t="s">
        <v>53</v>
      </c>
      <c r="X2">
        <v>1.5205786552878424</v>
      </c>
      <c r="Y2">
        <v>1.672913127707832</v>
      </c>
      <c r="Z2">
        <v>1.6594151564028692</v>
      </c>
      <c r="AA2">
        <v>1.6664067804604201</v>
      </c>
      <c r="AB2">
        <v>1.755879181989054</v>
      </c>
      <c r="AC2">
        <v>1.8273663874006238</v>
      </c>
      <c r="AD2">
        <v>1.6925791996156219</v>
      </c>
      <c r="AE2">
        <v>1.8287926978941436</v>
      </c>
      <c r="AF2">
        <v>1.907898508422422</v>
      </c>
      <c r="AG2">
        <v>1.8636599889133307</v>
      </c>
      <c r="AH2">
        <v>1.7722225818100033</v>
      </c>
      <c r="AI2">
        <v>1.88888984925153</v>
      </c>
      <c r="AJ2">
        <v>1.8148420951604678</v>
      </c>
      <c r="AK2">
        <v>1.8470792153305577</v>
      </c>
      <c r="AL2">
        <f>AVERAGE(X2:Z2)</f>
        <v>1.6176356464661812</v>
      </c>
    </row>
    <row r="3" spans="1:38" x14ac:dyDescent="0.2">
      <c r="A3" s="3" t="s">
        <v>54</v>
      </c>
      <c r="B3" s="3">
        <v>1.69115814</v>
      </c>
      <c r="C3" s="3">
        <v>1.7208594800000001</v>
      </c>
      <c r="D3" s="3">
        <v>1.7138198600000001</v>
      </c>
      <c r="E3" s="3">
        <v>1.58747259</v>
      </c>
      <c r="F3" s="3">
        <v>1.763578504</v>
      </c>
      <c r="G3" s="3">
        <v>1.8989072600000001</v>
      </c>
      <c r="H3" s="3">
        <v>1.72851081</v>
      </c>
      <c r="I3" s="3">
        <v>1.75331093</v>
      </c>
      <c r="J3" s="3">
        <v>1.75164202</v>
      </c>
      <c r="K3" s="3">
        <v>1.884117593</v>
      </c>
      <c r="L3" s="3">
        <v>1.8335412950000001</v>
      </c>
      <c r="M3" s="3">
        <v>1.7510008859999999</v>
      </c>
      <c r="N3" s="3">
        <v>1.702668031</v>
      </c>
      <c r="O3" s="3">
        <v>1.6916025889999999</v>
      </c>
      <c r="P3" s="30">
        <f t="shared" ref="P3:P13" si="0">AVERAGE(B3:D3)</f>
        <v>1.7086124933333335</v>
      </c>
      <c r="W3" t="s">
        <v>54</v>
      </c>
      <c r="X3">
        <v>1.5191014741406579</v>
      </c>
      <c r="Y3">
        <v>1.7307723000922002</v>
      </c>
      <c r="Z3">
        <v>1.6847062477278492</v>
      </c>
      <c r="AA3">
        <v>1.6280237373839939</v>
      </c>
      <c r="AB3">
        <v>1.8542625805100073</v>
      </c>
      <c r="AC3">
        <v>1.8276967406602782</v>
      </c>
      <c r="AD3">
        <v>1.681529519379511</v>
      </c>
      <c r="AE3">
        <v>1.8869271853337288</v>
      </c>
      <c r="AF3">
        <v>1.8974892292898673</v>
      </c>
      <c r="AG3">
        <v>1.8034861756695266</v>
      </c>
      <c r="AH3">
        <v>1.8581695932625129</v>
      </c>
      <c r="AI3">
        <v>1.8845083723482239</v>
      </c>
      <c r="AJ3">
        <v>1.8012351233260235</v>
      </c>
      <c r="AK3">
        <v>1.8668563825620332</v>
      </c>
      <c r="AL3">
        <f t="shared" ref="AL3:AL13" si="1">AVERAGE(X3:Z3)</f>
        <v>1.6448600073202357</v>
      </c>
    </row>
    <row r="4" spans="1:38" x14ac:dyDescent="0.2">
      <c r="A4" s="3" t="s">
        <v>55</v>
      </c>
      <c r="B4" s="3">
        <v>1.7339835299999999</v>
      </c>
      <c r="C4" s="3">
        <v>1.5927073700000001</v>
      </c>
      <c r="D4" s="3">
        <v>1.97137395</v>
      </c>
      <c r="E4" s="3">
        <v>1.6217127200000001</v>
      </c>
      <c r="F4" s="3">
        <v>1.792969153</v>
      </c>
      <c r="G4" s="3">
        <v>1.93698948</v>
      </c>
      <c r="H4" s="3">
        <v>1.79812938</v>
      </c>
      <c r="I4" s="3">
        <v>1.74523758</v>
      </c>
      <c r="J4" s="3">
        <v>1.88023878</v>
      </c>
      <c r="K4" s="3">
        <v>1.9542231999999999</v>
      </c>
      <c r="L4" s="3">
        <v>1.8228275330000001</v>
      </c>
      <c r="M4" s="3">
        <v>1.7770790219999999</v>
      </c>
      <c r="N4" s="3">
        <v>1.7304470750000001</v>
      </c>
      <c r="O4" s="3">
        <v>1.7154258250000001</v>
      </c>
      <c r="P4" s="30">
        <f t="shared" si="0"/>
        <v>1.7660216166666667</v>
      </c>
      <c r="W4" t="s">
        <v>55</v>
      </c>
      <c r="X4">
        <v>1.6400099818424134</v>
      </c>
      <c r="Y4">
        <v>1.7442605381699547</v>
      </c>
      <c r="Z4">
        <v>1.8182184111313722</v>
      </c>
      <c r="AA4">
        <v>1.5872891856048943</v>
      </c>
      <c r="AB4">
        <v>1.8768668587878936</v>
      </c>
      <c r="AC4">
        <v>1.9090604647988265</v>
      </c>
      <c r="AD4">
        <v>1.8335926417193786</v>
      </c>
      <c r="AE4">
        <v>2.0534867589842616</v>
      </c>
      <c r="AF4">
        <v>1.9520480187146338</v>
      </c>
      <c r="AG4">
        <v>1.9338009525233477</v>
      </c>
      <c r="AH4">
        <v>1.8786370060732371</v>
      </c>
      <c r="AI4">
        <v>2.0746941151964222</v>
      </c>
      <c r="AJ4">
        <v>1.8711763525827181</v>
      </c>
      <c r="AK4">
        <v>1.8994357172408147</v>
      </c>
      <c r="AL4">
        <f t="shared" si="1"/>
        <v>1.7341629770479134</v>
      </c>
    </row>
    <row r="5" spans="1:38" x14ac:dyDescent="0.2">
      <c r="A5" s="3" t="s">
        <v>56</v>
      </c>
      <c r="B5" s="3">
        <v>1.71507637</v>
      </c>
      <c r="C5" s="3">
        <v>1.66362722</v>
      </c>
      <c r="D5" s="3">
        <v>1.8903696699999999</v>
      </c>
      <c r="E5" s="3">
        <v>1.61004993</v>
      </c>
      <c r="F5" s="3">
        <v>1.72769843</v>
      </c>
      <c r="G5" s="3">
        <v>2.02034622</v>
      </c>
      <c r="H5" s="3">
        <v>1.73569851</v>
      </c>
      <c r="I5" s="3">
        <v>1.7973560799999999</v>
      </c>
      <c r="J5" s="3">
        <v>1.8355005200000001</v>
      </c>
      <c r="K5" s="3">
        <v>1.915357449</v>
      </c>
      <c r="L5" s="3">
        <v>1.9123571500000001</v>
      </c>
      <c r="M5" s="3">
        <v>1.8501711620000001</v>
      </c>
      <c r="N5" s="3">
        <v>1.7650032980000001</v>
      </c>
      <c r="O5" s="3">
        <v>1.7368120339999999</v>
      </c>
      <c r="P5" s="30">
        <f t="shared" si="0"/>
        <v>1.7563577533333332</v>
      </c>
      <c r="W5" t="s">
        <v>56</v>
      </c>
      <c r="X5">
        <v>1.5783130766205351</v>
      </c>
      <c r="Y5">
        <v>1.7079333174997335</v>
      </c>
      <c r="Z5">
        <v>1.7425442421209301</v>
      </c>
      <c r="AA5">
        <v>1.6840624333555445</v>
      </c>
      <c r="AB5">
        <v>1.8248558513017834</v>
      </c>
      <c r="AC5">
        <v>1.9120223720372078</v>
      </c>
      <c r="AD5">
        <v>1.7886689077576963</v>
      </c>
      <c r="AE5">
        <v>1.905229479980181</v>
      </c>
      <c r="AF5">
        <v>1.9887112509618416</v>
      </c>
      <c r="AG5">
        <v>1.9480677384615859</v>
      </c>
      <c r="AH5">
        <v>1.9109932844897293</v>
      </c>
      <c r="AI5">
        <v>1.8606770020921559</v>
      </c>
      <c r="AJ5">
        <v>1.8815092994870053</v>
      </c>
      <c r="AK5">
        <v>1.8757042271920132</v>
      </c>
      <c r="AL5">
        <f t="shared" si="1"/>
        <v>1.6762635454137331</v>
      </c>
    </row>
    <row r="6" spans="1:38" x14ac:dyDescent="0.2">
      <c r="A6" s="3" t="s">
        <v>57</v>
      </c>
      <c r="B6" s="3">
        <v>1.8160002900000001</v>
      </c>
      <c r="C6" s="3">
        <v>1.4876414899999999</v>
      </c>
      <c r="D6" s="3">
        <v>2.08897778</v>
      </c>
      <c r="E6" s="3">
        <v>1.6015529500000001</v>
      </c>
      <c r="F6" s="3">
        <v>1.9150015090000001</v>
      </c>
      <c r="G6" s="3">
        <v>1.98292538</v>
      </c>
      <c r="H6" s="3">
        <v>1.6621584</v>
      </c>
      <c r="I6" s="3">
        <v>1.8557896700000001</v>
      </c>
      <c r="J6" s="3">
        <v>1.8800614099999999</v>
      </c>
      <c r="K6" s="3">
        <v>1.8860570940000001</v>
      </c>
      <c r="L6" s="3">
        <v>1.969773311</v>
      </c>
      <c r="M6" s="3">
        <v>1.7528869490000001</v>
      </c>
      <c r="N6" s="3">
        <v>1.698758757</v>
      </c>
      <c r="O6" s="3">
        <v>1.845570522</v>
      </c>
      <c r="P6" s="30">
        <f t="shared" si="0"/>
        <v>1.7975398533333333</v>
      </c>
      <c r="W6" t="s">
        <v>57</v>
      </c>
      <c r="X6">
        <v>1.6436944100882513</v>
      </c>
      <c r="Y6">
        <v>1.7794440289540445</v>
      </c>
      <c r="AA6">
        <v>1.5783263284228155</v>
      </c>
      <c r="AB6">
        <v>1.7986889660054812</v>
      </c>
      <c r="AC6">
        <v>1.9264921458823381</v>
      </c>
      <c r="AD6">
        <v>1.8246229988376879</v>
      </c>
      <c r="AE6">
        <v>1.968462771235874</v>
      </c>
      <c r="AF6">
        <v>1.9980024167322779</v>
      </c>
      <c r="AG6">
        <v>1.9537219254194997</v>
      </c>
      <c r="AH6">
        <v>1.9257478036535671</v>
      </c>
      <c r="AI6">
        <v>1.8275555705518485</v>
      </c>
      <c r="AJ6">
        <v>1.9143400825332868</v>
      </c>
      <c r="AK6">
        <v>1.8546578583569675</v>
      </c>
      <c r="AL6">
        <f t="shared" si="1"/>
        <v>1.7115692195211478</v>
      </c>
    </row>
    <row r="7" spans="1:38" x14ac:dyDescent="0.2">
      <c r="A7" s="3" t="s">
        <v>58</v>
      </c>
      <c r="B7" s="3">
        <v>0.62680694999999997</v>
      </c>
      <c r="C7" s="3">
        <v>0.42796877</v>
      </c>
      <c r="D7" s="3">
        <v>0.93181692000000005</v>
      </c>
      <c r="E7" s="3">
        <v>0.64085079</v>
      </c>
      <c r="F7" s="3">
        <v>0.85935828999999997</v>
      </c>
      <c r="G7" s="3">
        <v>0.35914467999999999</v>
      </c>
      <c r="H7" s="3">
        <v>1.08711881</v>
      </c>
      <c r="I7" s="3">
        <v>0.86305673999999999</v>
      </c>
      <c r="J7" s="3">
        <v>0.82798731999999997</v>
      </c>
      <c r="K7" s="3">
        <v>1.211765204</v>
      </c>
      <c r="L7" s="3">
        <v>1.1505639839999999</v>
      </c>
      <c r="M7" s="3">
        <v>1.0407794610000001</v>
      </c>
      <c r="N7" s="3">
        <v>0.98021330100000004</v>
      </c>
      <c r="O7" s="3">
        <v>1.0798861280000001</v>
      </c>
      <c r="P7" s="30">
        <f t="shared" si="0"/>
        <v>0.66219754666666664</v>
      </c>
      <c r="W7" t="s">
        <v>58</v>
      </c>
      <c r="X7">
        <v>0.8406868165482162</v>
      </c>
      <c r="Y7">
        <v>0.49595128451096482</v>
      </c>
      <c r="Z7">
        <v>0.4264672782516466</v>
      </c>
      <c r="AA7">
        <v>0.15306616841477005</v>
      </c>
      <c r="AB7">
        <v>1.1736480304686632</v>
      </c>
      <c r="AC7">
        <v>1.1662671243035903</v>
      </c>
      <c r="AD7">
        <v>1.0369616843725391</v>
      </c>
      <c r="AE7">
        <v>1.3279425971343701</v>
      </c>
      <c r="AF7">
        <v>1.2939461049664618</v>
      </c>
      <c r="AG7">
        <v>0.9368299126707571</v>
      </c>
      <c r="AH7">
        <v>0.80743812888207056</v>
      </c>
      <c r="AI7">
        <v>0.33570711719858437</v>
      </c>
      <c r="AJ7">
        <v>1.321814443765392</v>
      </c>
      <c r="AK7">
        <v>0.92130864375868959</v>
      </c>
      <c r="AL7">
        <f t="shared" si="1"/>
        <v>0.58770179310360915</v>
      </c>
    </row>
    <row r="8" spans="1:38" x14ac:dyDescent="0.2">
      <c r="A8" s="3" t="s">
        <v>59</v>
      </c>
      <c r="B8" s="3">
        <v>0.62835258999999999</v>
      </c>
      <c r="C8" s="3">
        <v>0.39822366999999997</v>
      </c>
      <c r="D8" s="3">
        <v>0.64827235000000005</v>
      </c>
      <c r="E8" s="3">
        <v>0.76824135999999998</v>
      </c>
      <c r="F8" s="3">
        <v>0.75212604100000002</v>
      </c>
      <c r="G8" s="3">
        <v>-0.43611090000000002</v>
      </c>
      <c r="H8" s="3">
        <v>0.96284594999999995</v>
      </c>
      <c r="I8" s="3">
        <v>0.57563067999999995</v>
      </c>
      <c r="J8" s="3">
        <v>0.77393427999999997</v>
      </c>
      <c r="K8" s="3">
        <v>0.89007475899999999</v>
      </c>
      <c r="L8" s="3">
        <v>1.0421307980000001</v>
      </c>
      <c r="M8" s="3">
        <v>1.0009344040000001</v>
      </c>
      <c r="N8" s="3">
        <v>1.04465002</v>
      </c>
      <c r="O8" s="3">
        <v>1.139815365</v>
      </c>
      <c r="P8" s="30">
        <f t="shared" si="0"/>
        <v>0.55828286999999999</v>
      </c>
      <c r="W8" t="s">
        <v>59</v>
      </c>
      <c r="X8">
        <v>0.63321217500751648</v>
      </c>
      <c r="Y8">
        <v>0.51931962061585557</v>
      </c>
      <c r="Z8">
        <v>0.34085767190248806</v>
      </c>
      <c r="AA8">
        <v>0.75556029248890655</v>
      </c>
      <c r="AB8">
        <v>1.2026175155313423</v>
      </c>
      <c r="AC8">
        <v>1.1326326183650828</v>
      </c>
      <c r="AD8">
        <v>0.91729413249400871</v>
      </c>
      <c r="AE8">
        <v>1.2693382743964081</v>
      </c>
      <c r="AF8">
        <v>1.0953482931223804</v>
      </c>
      <c r="AG8">
        <v>0.96070371436835866</v>
      </c>
      <c r="AH8">
        <v>1.1721054632247707</v>
      </c>
      <c r="AI8">
        <v>0.31355597333809043</v>
      </c>
      <c r="AJ8">
        <v>1.4206938211735372</v>
      </c>
      <c r="AK8">
        <v>0.80732178930343945</v>
      </c>
      <c r="AL8">
        <f t="shared" si="1"/>
        <v>0.49779648917528668</v>
      </c>
    </row>
    <row r="9" spans="1:38" x14ac:dyDescent="0.2">
      <c r="A9" s="3" t="s">
        <v>60</v>
      </c>
      <c r="B9" s="3">
        <v>0.67751952999999998</v>
      </c>
      <c r="C9" s="3">
        <v>0.68059291</v>
      </c>
      <c r="D9" s="3">
        <v>0.61453150000000001</v>
      </c>
      <c r="E9" s="3">
        <v>0.25738490000000003</v>
      </c>
      <c r="F9" s="6">
        <v>0.96428769599999997</v>
      </c>
      <c r="G9" s="3">
        <v>9.9598350000000002E-2</v>
      </c>
      <c r="H9" s="3">
        <v>0.83263339999999997</v>
      </c>
      <c r="I9" s="3">
        <v>1.02587871</v>
      </c>
      <c r="J9" s="3">
        <v>0.97882566000000004</v>
      </c>
      <c r="K9" s="3">
        <v>1.284854994</v>
      </c>
      <c r="L9" s="3">
        <v>1.2862299020000001</v>
      </c>
      <c r="M9" s="3">
        <v>1.297121027</v>
      </c>
      <c r="N9" s="3">
        <v>1.1822481490000001</v>
      </c>
      <c r="O9" s="3">
        <v>1.3414136940000001</v>
      </c>
      <c r="P9" s="30">
        <f t="shared" si="0"/>
        <v>0.65754798000000003</v>
      </c>
      <c r="W9" t="s">
        <v>60</v>
      </c>
      <c r="X9">
        <v>0.67426291919900694</v>
      </c>
      <c r="Y9">
        <v>0.42471394457819106</v>
      </c>
      <c r="Z9">
        <v>0.27528962362689402</v>
      </c>
      <c r="AA9">
        <v>0.42999218627816571</v>
      </c>
      <c r="AB9">
        <v>1.3412290412038892</v>
      </c>
      <c r="AC9">
        <v>1.1567550848578221</v>
      </c>
      <c r="AD9">
        <v>0.68549671791197342</v>
      </c>
      <c r="AE9">
        <v>1.2309727416283296</v>
      </c>
      <c r="AF9">
        <v>0.94726095587881565</v>
      </c>
      <c r="AG9">
        <v>0.57818346034845336</v>
      </c>
      <c r="AH9">
        <v>0.79994468798192753</v>
      </c>
      <c r="AI9">
        <v>0.33246790650559149</v>
      </c>
      <c r="AJ9">
        <v>1.1839191866711161</v>
      </c>
      <c r="AK9">
        <v>0.66893547190694813</v>
      </c>
      <c r="AL9">
        <f t="shared" si="1"/>
        <v>0.45808882913469734</v>
      </c>
    </row>
    <row r="10" spans="1:38" x14ac:dyDescent="0.2">
      <c r="A10" s="3" t="s">
        <v>61</v>
      </c>
      <c r="B10" s="3">
        <v>0.65284408000000005</v>
      </c>
      <c r="C10" s="3">
        <v>0.61358698</v>
      </c>
      <c r="D10" s="3">
        <v>0.39833754999999998</v>
      </c>
      <c r="E10" s="3">
        <v>0.50527005999999997</v>
      </c>
      <c r="F10" s="6">
        <v>0.90983104100000001</v>
      </c>
      <c r="G10" s="3">
        <v>0.55206851000000001</v>
      </c>
      <c r="H10" s="3">
        <v>0.95702781000000003</v>
      </c>
      <c r="I10" s="3">
        <v>1.0857436</v>
      </c>
      <c r="J10" s="3">
        <v>0.93095715000000001</v>
      </c>
      <c r="K10" s="3">
        <v>1.282761029</v>
      </c>
      <c r="L10" s="3">
        <v>1.1520018489999999</v>
      </c>
      <c r="M10" s="3">
        <v>1.14396875</v>
      </c>
      <c r="N10" s="3">
        <v>0.96814366900000004</v>
      </c>
      <c r="O10" s="3">
        <v>1.2334238319999999</v>
      </c>
      <c r="P10" s="30">
        <f t="shared" si="0"/>
        <v>0.55492286999999996</v>
      </c>
      <c r="W10" t="s">
        <v>61</v>
      </c>
      <c r="X10">
        <v>0.75519962938103158</v>
      </c>
      <c r="Y10">
        <v>0.37487973689053788</v>
      </c>
      <c r="Z10">
        <v>0.77246602994153457</v>
      </c>
      <c r="AA10">
        <v>0.33385943984928712</v>
      </c>
      <c r="AB10">
        <v>1.5991893219951556</v>
      </c>
      <c r="AC10">
        <v>1.438686672883204</v>
      </c>
      <c r="AD10">
        <v>1.2788740033292307</v>
      </c>
      <c r="AE10">
        <v>1.5770970513129638</v>
      </c>
      <c r="AF10">
        <v>1.3081475157717577</v>
      </c>
      <c r="AG10">
        <v>0.88245506780532246</v>
      </c>
      <c r="AH10">
        <v>1.0108902251336656</v>
      </c>
      <c r="AI10">
        <v>6.6415058145045627E-2</v>
      </c>
      <c r="AJ10">
        <v>1.4968081195097731</v>
      </c>
      <c r="AK10">
        <v>0.79520521240658593</v>
      </c>
      <c r="AL10">
        <f t="shared" si="1"/>
        <v>0.63418179873770131</v>
      </c>
    </row>
    <row r="11" spans="1:38" x14ac:dyDescent="0.2">
      <c r="A11" s="3" t="s">
        <v>62</v>
      </c>
      <c r="B11" s="3">
        <v>0.69680213000000002</v>
      </c>
      <c r="C11" s="3">
        <v>0.32619519000000002</v>
      </c>
      <c r="D11" s="3">
        <v>0.43800288999999998</v>
      </c>
      <c r="E11" s="3">
        <v>0.40037854</v>
      </c>
      <c r="F11" s="3">
        <v>0.67105881300000003</v>
      </c>
      <c r="G11" s="3">
        <v>-0.23104910000000001</v>
      </c>
      <c r="H11" s="3">
        <v>0.76456424000000001</v>
      </c>
      <c r="I11" s="3">
        <v>0.96127216999999998</v>
      </c>
      <c r="J11" s="3">
        <v>0.62151889000000005</v>
      </c>
      <c r="K11" s="3">
        <v>0.93904608199999995</v>
      </c>
      <c r="L11" s="3">
        <v>0.921077276</v>
      </c>
      <c r="M11" s="3">
        <v>0.99330036499999996</v>
      </c>
      <c r="N11" s="3">
        <v>0.82696862199999999</v>
      </c>
      <c r="O11" s="3">
        <v>1.0024232070000001</v>
      </c>
      <c r="P11" s="30">
        <f t="shared" si="0"/>
        <v>0.48700006999999995</v>
      </c>
      <c r="W11" t="s">
        <v>62</v>
      </c>
      <c r="X11">
        <v>0.64172233022058367</v>
      </c>
      <c r="Y11">
        <v>0.48332284721173507</v>
      </c>
      <c r="Z11">
        <v>0.29227427237752757</v>
      </c>
      <c r="AA11">
        <v>0.36589295422924434</v>
      </c>
      <c r="AB11">
        <v>1.3571197193195281</v>
      </c>
      <c r="AC11">
        <v>1.1907174410354919</v>
      </c>
      <c r="AD11">
        <v>0.95033030397410245</v>
      </c>
      <c r="AE11">
        <v>1.4266195005951421</v>
      </c>
      <c r="AF11">
        <v>1.3710714085252114</v>
      </c>
      <c r="AG11">
        <v>1.1671264243138915</v>
      </c>
      <c r="AH11">
        <v>1.0497446579465251</v>
      </c>
      <c r="AI11">
        <v>0.74240782179796649</v>
      </c>
      <c r="AJ11">
        <v>1.5720098199256345</v>
      </c>
      <c r="AK11">
        <v>0.62413526146208109</v>
      </c>
      <c r="AL11">
        <f t="shared" si="1"/>
        <v>0.4724398166032821</v>
      </c>
    </row>
    <row r="12" spans="1:38" x14ac:dyDescent="0.2">
      <c r="A12" s="3" t="s">
        <v>63</v>
      </c>
      <c r="B12" s="3">
        <v>1.5593907499999999</v>
      </c>
      <c r="C12" s="3">
        <v>1.65865756</v>
      </c>
      <c r="D12" s="3">
        <v>1.66374066</v>
      </c>
      <c r="E12" s="3">
        <v>1.5290750500000001</v>
      </c>
      <c r="F12" s="3">
        <v>1.5996139700000001</v>
      </c>
      <c r="G12" s="3">
        <v>1.7303646399999999</v>
      </c>
      <c r="H12" s="3">
        <v>1.70918656</v>
      </c>
      <c r="I12" s="3">
        <v>1.61330218</v>
      </c>
      <c r="J12" s="3">
        <v>1.5715923599999999</v>
      </c>
      <c r="K12" s="3">
        <v>1.723982793</v>
      </c>
      <c r="L12" s="3">
        <v>1.630158357</v>
      </c>
      <c r="M12" s="3">
        <v>1.688378596</v>
      </c>
      <c r="N12" s="3">
        <v>1.504909491</v>
      </c>
      <c r="O12" s="3">
        <v>1.6119150719999999</v>
      </c>
      <c r="P12" s="30">
        <f t="shared" si="0"/>
        <v>1.62726299</v>
      </c>
      <c r="W12" t="s">
        <v>63</v>
      </c>
      <c r="X12">
        <v>1.4555829756001508</v>
      </c>
      <c r="Y12">
        <v>1.5070414053009304</v>
      </c>
      <c r="Z12">
        <v>1.8517622737120716</v>
      </c>
      <c r="AA12">
        <v>1.6500236624961999</v>
      </c>
      <c r="AB12">
        <v>1.6725566364600499</v>
      </c>
      <c r="AC12">
        <v>1.8640177840027485</v>
      </c>
      <c r="AD12">
        <v>2.1210259871643129</v>
      </c>
      <c r="AE12">
        <v>1.7866321893372021</v>
      </c>
      <c r="AF12">
        <v>2.0274940053145962</v>
      </c>
      <c r="AG12">
        <v>1.8911332854632219</v>
      </c>
      <c r="AH12">
        <v>1.8589070818831237</v>
      </c>
      <c r="AI12">
        <v>1.9532467687335728</v>
      </c>
      <c r="AJ12">
        <v>1.8676819270520479</v>
      </c>
      <c r="AK12">
        <v>1.8146940818725819</v>
      </c>
      <c r="AL12">
        <f t="shared" si="1"/>
        <v>1.6047955515377177</v>
      </c>
    </row>
    <row r="13" spans="1:38" x14ac:dyDescent="0.2">
      <c r="A13" s="3" t="s">
        <v>64</v>
      </c>
      <c r="B13" s="3">
        <v>0.76650927999999996</v>
      </c>
      <c r="C13" s="3">
        <v>0.52282043</v>
      </c>
      <c r="D13" s="3">
        <v>-0.30942730000000002</v>
      </c>
      <c r="E13" s="3" t="e">
        <v>#NUM!</v>
      </c>
      <c r="F13" s="3">
        <v>0.262392825</v>
      </c>
      <c r="G13" s="3">
        <v>6.4561129999999994E-2</v>
      </c>
      <c r="H13" s="3">
        <v>5.377622E-2</v>
      </c>
      <c r="I13" s="3">
        <v>-7.90598E-2</v>
      </c>
      <c r="J13" s="3">
        <v>0.86414027000000004</v>
      </c>
      <c r="K13" s="3">
        <v>0.99788434999999998</v>
      </c>
      <c r="L13" s="3">
        <v>1.049088834</v>
      </c>
      <c r="M13" s="3">
        <v>0.88505210700000003</v>
      </c>
      <c r="N13" s="3">
        <v>0.77674843800000004</v>
      </c>
      <c r="O13" s="3">
        <v>0.91788135199999998</v>
      </c>
      <c r="P13" s="30">
        <f t="shared" si="0"/>
        <v>0.32663413666666669</v>
      </c>
      <c r="W13" t="s">
        <v>64</v>
      </c>
      <c r="X13">
        <v>0.82414049165970982</v>
      </c>
      <c r="Y13">
        <v>0.6416255080736798</v>
      </c>
      <c r="Z13">
        <v>0.93103702511893482</v>
      </c>
      <c r="AA13">
        <v>0.65509181794972948</v>
      </c>
      <c r="AB13">
        <v>1.3377819883853024</v>
      </c>
      <c r="AC13">
        <v>1.5620589736946633</v>
      </c>
      <c r="AD13">
        <v>1.3021316681889314</v>
      </c>
      <c r="AE13">
        <v>1.4094043075919067</v>
      </c>
      <c r="AF13">
        <v>1.344165581667645</v>
      </c>
      <c r="AG13">
        <v>1.2870024385729621</v>
      </c>
      <c r="AH13">
        <v>0.93904572276896847</v>
      </c>
      <c r="AI13">
        <v>0.91424961880952405</v>
      </c>
      <c r="AJ13">
        <v>1.3298282645667874</v>
      </c>
      <c r="AK13">
        <v>0.77318719010816361</v>
      </c>
      <c r="AL13">
        <f t="shared" si="1"/>
        <v>0.79893434161744148</v>
      </c>
    </row>
    <row r="14" spans="1:38" x14ac:dyDescent="0.2">
      <c r="A14" s="3">
        <v>0</v>
      </c>
      <c r="B14" s="3">
        <v>1.5625</v>
      </c>
      <c r="C14" s="3">
        <v>4.5</v>
      </c>
      <c r="D14" s="3">
        <v>7.5</v>
      </c>
      <c r="E14" s="3">
        <v>10.5</v>
      </c>
      <c r="F14" s="3">
        <v>13.5</v>
      </c>
      <c r="G14" s="3">
        <v>16.5</v>
      </c>
      <c r="H14" s="3">
        <v>19.5</v>
      </c>
      <c r="I14" s="3">
        <v>22.5</v>
      </c>
      <c r="J14" s="3">
        <v>25.5</v>
      </c>
      <c r="K14" s="3">
        <v>28.5</v>
      </c>
      <c r="L14" s="3">
        <v>31.5</v>
      </c>
      <c r="M14" s="3">
        <v>34.5</v>
      </c>
      <c r="N14" s="3">
        <v>37.5</v>
      </c>
      <c r="O14" s="3">
        <v>40.5</v>
      </c>
      <c r="W14">
        <v>0</v>
      </c>
      <c r="X14">
        <v>1.5625</v>
      </c>
      <c r="Y14">
        <v>4.5</v>
      </c>
      <c r="Z14">
        <v>7.5</v>
      </c>
      <c r="AA14">
        <v>10.5</v>
      </c>
      <c r="AB14">
        <v>13.5</v>
      </c>
      <c r="AC14">
        <v>16.5</v>
      </c>
      <c r="AD14">
        <v>19.5</v>
      </c>
      <c r="AE14">
        <v>22.5</v>
      </c>
      <c r="AF14">
        <v>25.5</v>
      </c>
      <c r="AG14">
        <v>28.5</v>
      </c>
      <c r="AH14">
        <v>31.5</v>
      </c>
      <c r="AI14">
        <v>34.5</v>
      </c>
      <c r="AJ14">
        <v>37.5</v>
      </c>
      <c r="AK14">
        <v>40.5</v>
      </c>
    </row>
    <row r="15" spans="1:38" x14ac:dyDescent="0.2">
      <c r="A15" s="3" t="s">
        <v>65</v>
      </c>
      <c r="B15" s="3">
        <v>1.7285102400000001</v>
      </c>
      <c r="C15" s="3">
        <v>1.6263872800000001</v>
      </c>
      <c r="D15" s="3">
        <v>1.88121158</v>
      </c>
      <c r="E15" s="3">
        <v>1.6003373599999999</v>
      </c>
      <c r="F15" s="3">
        <v>1.7936164429999999</v>
      </c>
      <c r="G15" s="3">
        <v>1.94989849</v>
      </c>
      <c r="H15" s="3">
        <v>1.72674536</v>
      </c>
      <c r="I15" s="3">
        <v>1.7771872200000001</v>
      </c>
      <c r="J15" s="3">
        <v>1.81723291</v>
      </c>
      <c r="K15" s="3">
        <v>1.8968519210000001</v>
      </c>
      <c r="L15" s="3">
        <v>1.865117154</v>
      </c>
      <c r="M15" s="3">
        <v>1.781604966</v>
      </c>
      <c r="N15" s="3">
        <v>1.7218607939999999</v>
      </c>
      <c r="O15" s="3">
        <v>1.7368400900000001</v>
      </c>
      <c r="W15" t="s">
        <v>65</v>
      </c>
      <c r="X15">
        <v>1.5803395195959402</v>
      </c>
      <c r="Y15">
        <v>1.727064662484753</v>
      </c>
      <c r="Z15">
        <v>1.7262210143457553</v>
      </c>
      <c r="AA15">
        <v>1.6288216930455335</v>
      </c>
      <c r="AB15">
        <v>1.822110687718844</v>
      </c>
      <c r="AC15">
        <v>1.8805276221558551</v>
      </c>
      <c r="AD15">
        <v>1.7641986534619789</v>
      </c>
      <c r="AE15">
        <v>1.9285797786856378</v>
      </c>
      <c r="AF15">
        <v>1.9488298848242085</v>
      </c>
      <c r="AG15">
        <v>1.9005473561974582</v>
      </c>
      <c r="AH15">
        <v>1.86915405385781</v>
      </c>
      <c r="AI15">
        <v>1.9072649818880361</v>
      </c>
      <c r="AJ15">
        <v>1.8566205906179003</v>
      </c>
      <c r="AK15">
        <v>1.8687466801364774</v>
      </c>
    </row>
    <row r="16" spans="1:38" x14ac:dyDescent="0.2">
      <c r="A16" s="3" t="s">
        <v>43</v>
      </c>
      <c r="B16" s="3">
        <v>0.65646506000000004</v>
      </c>
      <c r="C16" s="3">
        <v>0.48931350000000001</v>
      </c>
      <c r="D16" s="3">
        <v>0.60619224000000005</v>
      </c>
      <c r="E16" s="3">
        <v>0.51442513000000001</v>
      </c>
      <c r="F16" s="3">
        <v>0.76084771500000004</v>
      </c>
      <c r="G16" s="3">
        <v>6.8730310000000003E-2</v>
      </c>
      <c r="H16" s="3">
        <v>0.92083804000000002</v>
      </c>
      <c r="I16" s="3">
        <v>0.90231638000000003</v>
      </c>
      <c r="J16" s="3">
        <v>0.82664466000000003</v>
      </c>
      <c r="K16" s="3">
        <v>1.1217004129999999</v>
      </c>
      <c r="L16" s="3">
        <v>1.110400762</v>
      </c>
      <c r="M16" s="3">
        <v>1.095220801</v>
      </c>
      <c r="N16" s="3">
        <v>1.0004447519999999</v>
      </c>
      <c r="O16" s="3">
        <v>1.1593924449999999</v>
      </c>
      <c r="W16" t="s">
        <v>43</v>
      </c>
      <c r="X16">
        <v>0.70901677407127095</v>
      </c>
      <c r="Y16">
        <v>0.45963748676145688</v>
      </c>
      <c r="Z16">
        <v>0.42147097522001814</v>
      </c>
      <c r="AA16">
        <v>0.40767420825207468</v>
      </c>
      <c r="AB16">
        <v>1.3347607257037157</v>
      </c>
      <c r="AC16">
        <v>1.2170117882890381</v>
      </c>
      <c r="AD16">
        <v>0.97379136841637082</v>
      </c>
      <c r="AE16">
        <v>1.3663940330134428</v>
      </c>
      <c r="AF16">
        <v>1.2031548556529255</v>
      </c>
      <c r="AG16">
        <v>0.9050597159013567</v>
      </c>
      <c r="AH16">
        <v>0.9680246326337919</v>
      </c>
      <c r="AI16">
        <v>0.35811077539705566</v>
      </c>
      <c r="AJ16">
        <v>1.3990490782090907</v>
      </c>
      <c r="AK16">
        <v>0.76338127576754888</v>
      </c>
    </row>
    <row r="17" spans="1:37" x14ac:dyDescent="0.2">
      <c r="A17" s="3" t="s">
        <v>6</v>
      </c>
      <c r="B17" s="3">
        <v>1.5593907499999999</v>
      </c>
      <c r="C17" s="3">
        <v>1.65865756</v>
      </c>
      <c r="D17" s="3">
        <v>1.66374066</v>
      </c>
      <c r="E17" s="3">
        <v>1.5290750500000001</v>
      </c>
      <c r="F17" s="3">
        <v>1.5996139700000001</v>
      </c>
      <c r="G17" s="3">
        <v>1.7303646399999999</v>
      </c>
      <c r="H17" s="3">
        <v>1.70918656</v>
      </c>
      <c r="I17" s="3">
        <v>1.61330218</v>
      </c>
      <c r="J17" s="3">
        <v>1.5715923599999999</v>
      </c>
      <c r="K17" s="3">
        <v>1.723982793</v>
      </c>
      <c r="L17" s="3">
        <v>1.630158357</v>
      </c>
      <c r="M17" s="3">
        <v>1.688378596</v>
      </c>
      <c r="N17" s="3">
        <v>1.504909491</v>
      </c>
      <c r="O17" s="3">
        <v>1.6119150719999999</v>
      </c>
      <c r="W17" t="s">
        <v>6</v>
      </c>
      <c r="X17">
        <v>1.4555829756001508</v>
      </c>
      <c r="Y17">
        <v>1.5070414053009304</v>
      </c>
      <c r="Z17">
        <v>1.8517622737120716</v>
      </c>
      <c r="AA17">
        <v>1.6500236624961999</v>
      </c>
      <c r="AB17">
        <v>1.6725566364600499</v>
      </c>
      <c r="AC17">
        <v>1.8640177840027485</v>
      </c>
      <c r="AD17">
        <v>2.1210259871643129</v>
      </c>
      <c r="AE17">
        <v>1.7866321893372021</v>
      </c>
      <c r="AF17">
        <v>2.0274940053145962</v>
      </c>
      <c r="AG17">
        <v>1.8911332854632219</v>
      </c>
      <c r="AH17">
        <v>1.8589070818831237</v>
      </c>
      <c r="AI17">
        <v>1.9532467687335728</v>
      </c>
      <c r="AJ17">
        <v>1.8676819270520479</v>
      </c>
      <c r="AK17">
        <v>1.8146940818725819</v>
      </c>
    </row>
    <row r="18" spans="1:37" x14ac:dyDescent="0.2">
      <c r="A18" s="3" t="s">
        <v>66</v>
      </c>
      <c r="B18" s="3">
        <v>0.76650927999999996</v>
      </c>
      <c r="C18" s="3">
        <v>0.52282043</v>
      </c>
      <c r="D18" s="3">
        <v>-0.30942730000000002</v>
      </c>
      <c r="E18" s="7"/>
      <c r="F18" s="3">
        <v>0.262392825</v>
      </c>
      <c r="G18" s="3">
        <v>6.4561129999999994E-2</v>
      </c>
      <c r="H18" s="3">
        <v>5.377622E-2</v>
      </c>
      <c r="I18" s="3">
        <v>-7.90598E-2</v>
      </c>
      <c r="J18" s="3">
        <v>0.86414027000000004</v>
      </c>
      <c r="K18" s="3">
        <v>0.99788434999999998</v>
      </c>
      <c r="L18" s="3">
        <v>1.049088834</v>
      </c>
      <c r="M18" s="3">
        <v>0.88505210700000003</v>
      </c>
      <c r="N18" s="3">
        <v>0.77674843800000004</v>
      </c>
      <c r="O18" s="3">
        <v>0.91788135199999998</v>
      </c>
      <c r="W18" t="s">
        <v>66</v>
      </c>
      <c r="X18">
        <v>0.82414049165970982</v>
      </c>
      <c r="Y18">
        <v>0.6416255080736798</v>
      </c>
      <c r="Z18">
        <v>0.93103702511893482</v>
      </c>
      <c r="AA18">
        <v>0.65509181794972948</v>
      </c>
      <c r="AB18">
        <v>1.3377819883853024</v>
      </c>
      <c r="AC18">
        <v>1.5620589736946633</v>
      </c>
      <c r="AD18">
        <v>1.3021316681889314</v>
      </c>
      <c r="AE18">
        <v>1.4094043075919067</v>
      </c>
      <c r="AF18">
        <v>1.344165581667645</v>
      </c>
      <c r="AG18">
        <v>1.2870024385729621</v>
      </c>
      <c r="AH18">
        <v>0.93904572276896847</v>
      </c>
      <c r="AI18">
        <v>0.91424961880952405</v>
      </c>
      <c r="AJ18">
        <v>1.3298282645667874</v>
      </c>
      <c r="AK18">
        <v>0.77318719010816361</v>
      </c>
    </row>
    <row r="19" spans="1:37" x14ac:dyDescent="0.2">
      <c r="A19" s="3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</row>
    <row r="20" spans="1:37" x14ac:dyDescent="0.2">
      <c r="A20" s="3" t="s">
        <v>65</v>
      </c>
      <c r="B20" s="3">
        <v>5.2533429999999999E-2</v>
      </c>
      <c r="C20" s="3">
        <v>8.9936269999999999E-2</v>
      </c>
      <c r="D20" s="3">
        <v>0.15725344999999999</v>
      </c>
      <c r="E20" s="3">
        <v>1.6553579999999998E-2</v>
      </c>
      <c r="F20" s="3">
        <v>7.1757150000000006E-2</v>
      </c>
      <c r="G20" s="3">
        <v>5.0957189999999999E-2</v>
      </c>
      <c r="H20" s="3">
        <v>4.913559E-2</v>
      </c>
      <c r="I20" s="3">
        <v>5.0050699999999997E-2</v>
      </c>
      <c r="J20" s="3">
        <v>6.8405079999999993E-2</v>
      </c>
      <c r="K20" s="3">
        <v>4.0782614000000002E-2</v>
      </c>
      <c r="L20" s="3">
        <v>7.4260960000000001E-2</v>
      </c>
      <c r="M20" s="3">
        <v>4.0328037999999997E-2</v>
      </c>
      <c r="N20" s="3">
        <v>2.7046562E-2</v>
      </c>
      <c r="O20" s="3">
        <v>6.3434146999999996E-2</v>
      </c>
      <c r="W20" t="s">
        <v>65</v>
      </c>
      <c r="X20">
        <v>6.1032720321085129E-2</v>
      </c>
      <c r="Y20">
        <v>3.9847960514201128E-2</v>
      </c>
      <c r="Z20">
        <v>7.0513514740449479E-2</v>
      </c>
      <c r="AA20">
        <v>4.6742769338980437E-2</v>
      </c>
      <c r="AB20">
        <v>4.7367467217880647E-2</v>
      </c>
      <c r="AC20">
        <v>4.8826219239975072E-2</v>
      </c>
      <c r="AD20">
        <v>7.2506814101923694E-2</v>
      </c>
      <c r="AE20">
        <v>8.5775933829869686E-2</v>
      </c>
      <c r="AF20">
        <v>4.5634576063088815E-2</v>
      </c>
      <c r="AG20">
        <v>6.5140375040587464E-2</v>
      </c>
      <c r="AH20">
        <v>6.0331726244282416E-2</v>
      </c>
      <c r="AI20">
        <v>9.6710978661392014E-2</v>
      </c>
      <c r="AJ20">
        <v>4.7370482508478126E-2</v>
      </c>
      <c r="AK20">
        <v>2.0382416531117557E-2</v>
      </c>
    </row>
    <row r="21" spans="1:37" x14ac:dyDescent="0.2">
      <c r="A21" s="3" t="s">
        <v>43</v>
      </c>
      <c r="B21" s="3">
        <v>3.0632489999999998E-2</v>
      </c>
      <c r="C21" s="3">
        <v>0.15058205999999999</v>
      </c>
      <c r="D21" s="3">
        <v>0.21175631</v>
      </c>
      <c r="E21" s="3">
        <v>0.19972872</v>
      </c>
      <c r="F21" s="3">
        <v>9.4452231999999997E-2</v>
      </c>
      <c r="G21" s="3">
        <v>0.40732098</v>
      </c>
      <c r="H21" s="3">
        <v>0.12542449999999999</v>
      </c>
      <c r="I21" s="3">
        <v>0.20040823999999999</v>
      </c>
      <c r="J21" s="3">
        <v>0.14044298</v>
      </c>
      <c r="K21" s="3">
        <v>0.19214880600000001</v>
      </c>
      <c r="L21" s="3">
        <v>0.136714842</v>
      </c>
      <c r="M21" s="3">
        <v>0.12784915299999999</v>
      </c>
      <c r="N21" s="3">
        <v>0.12898955400000001</v>
      </c>
      <c r="O21" s="3">
        <v>0.13224621</v>
      </c>
      <c r="W21" t="s">
        <v>43</v>
      </c>
      <c r="X21">
        <v>8.7966706843150666E-2</v>
      </c>
      <c r="Y21">
        <v>5.8832761429907898E-2</v>
      </c>
      <c r="Z21">
        <v>0.20480586645264329</v>
      </c>
      <c r="AA21">
        <v>0.21996725149478574</v>
      </c>
      <c r="AB21">
        <v>0.16873305455522475</v>
      </c>
      <c r="AC21">
        <v>0.12565516573720326</v>
      </c>
      <c r="AD21">
        <v>0.21443068091137374</v>
      </c>
      <c r="AE21">
        <v>0.13897853092138449</v>
      </c>
      <c r="AF21">
        <v>0.17646984248413788</v>
      </c>
      <c r="AG21">
        <v>0.21221664413175462</v>
      </c>
      <c r="AH21">
        <v>0.16140283451163182</v>
      </c>
      <c r="AI21">
        <v>0.24285552410219169</v>
      </c>
      <c r="AJ21">
        <v>0.15181139797455506</v>
      </c>
      <c r="AK21">
        <v>0.1185264185745586</v>
      </c>
    </row>
    <row r="23" spans="1:37" x14ac:dyDescent="0.2">
      <c r="A23" s="12" t="s">
        <v>75</v>
      </c>
      <c r="B23">
        <v>1.5</v>
      </c>
      <c r="C23">
        <v>4.5</v>
      </c>
      <c r="D23">
        <v>7.5</v>
      </c>
      <c r="E23">
        <v>10.5</v>
      </c>
      <c r="F23">
        <v>13.5</v>
      </c>
      <c r="G23">
        <v>16.5</v>
      </c>
      <c r="H23">
        <v>19.5</v>
      </c>
      <c r="I23">
        <v>22.5</v>
      </c>
      <c r="J23">
        <v>25.5</v>
      </c>
      <c r="K23">
        <v>28.5</v>
      </c>
      <c r="L23">
        <v>31.5</v>
      </c>
      <c r="M23">
        <v>34.5</v>
      </c>
      <c r="N23">
        <v>37.5</v>
      </c>
      <c r="O23">
        <v>40.5</v>
      </c>
    </row>
    <row r="24" spans="1:37" x14ac:dyDescent="0.2">
      <c r="A24" t="s">
        <v>53</v>
      </c>
      <c r="B24">
        <v>1.5205786552878424</v>
      </c>
      <c r="C24">
        <v>1.672913127707832</v>
      </c>
      <c r="D24">
        <v>1.6594151564028692</v>
      </c>
      <c r="E24">
        <v>1.6664067804604201</v>
      </c>
      <c r="F24">
        <v>1.755879181989054</v>
      </c>
      <c r="G24">
        <v>1.8273663874006238</v>
      </c>
      <c r="H24">
        <v>1.6925791996156219</v>
      </c>
      <c r="I24">
        <v>1.8287926978941436</v>
      </c>
      <c r="J24">
        <v>1.907898508422422</v>
      </c>
      <c r="K24">
        <v>1.8636599889133307</v>
      </c>
      <c r="L24">
        <v>1.7722225818100033</v>
      </c>
      <c r="M24">
        <v>1.88888984925153</v>
      </c>
      <c r="N24">
        <v>1.8148420951604678</v>
      </c>
      <c r="O24">
        <v>1.8470792153305577</v>
      </c>
    </row>
    <row r="25" spans="1:37" x14ac:dyDescent="0.2">
      <c r="A25" t="s">
        <v>54</v>
      </c>
      <c r="B25">
        <v>1.5191014741406579</v>
      </c>
      <c r="C25">
        <v>1.7307723000922002</v>
      </c>
      <c r="D25">
        <v>1.6847062477278492</v>
      </c>
      <c r="E25">
        <v>1.6280237373839939</v>
      </c>
      <c r="F25">
        <v>1.8542625805100073</v>
      </c>
      <c r="G25">
        <v>1.8276967406602782</v>
      </c>
      <c r="H25">
        <v>1.681529519379511</v>
      </c>
      <c r="I25">
        <v>1.8869271853337288</v>
      </c>
      <c r="J25">
        <v>1.8974892292898673</v>
      </c>
      <c r="K25">
        <v>1.8034861756695266</v>
      </c>
      <c r="L25">
        <v>1.8581695932625129</v>
      </c>
      <c r="M25">
        <v>1.8845083723482239</v>
      </c>
      <c r="N25">
        <v>1.8012351233260235</v>
      </c>
      <c r="O25">
        <v>1.8668563825620332</v>
      </c>
    </row>
    <row r="26" spans="1:37" x14ac:dyDescent="0.2">
      <c r="A26" t="s">
        <v>55</v>
      </c>
      <c r="B26">
        <v>1.6400099818424134</v>
      </c>
      <c r="C26">
        <v>1.7442605381699547</v>
      </c>
      <c r="D26">
        <v>1.8182184111313722</v>
      </c>
      <c r="E26">
        <v>1.5872891856048943</v>
      </c>
      <c r="F26">
        <v>1.8768668587878936</v>
      </c>
      <c r="G26">
        <v>1.9090604647988265</v>
      </c>
      <c r="H26">
        <v>1.8335926417193786</v>
      </c>
      <c r="I26">
        <v>2.0534867589842616</v>
      </c>
      <c r="J26">
        <v>1.9520480187146338</v>
      </c>
      <c r="K26">
        <v>1.9338009525233477</v>
      </c>
      <c r="L26">
        <v>1.8786370060732371</v>
      </c>
      <c r="M26">
        <v>2.0746941151964222</v>
      </c>
      <c r="N26">
        <v>1.8711763525827181</v>
      </c>
      <c r="O26">
        <v>1.8994357172408147</v>
      </c>
    </row>
    <row r="27" spans="1:37" x14ac:dyDescent="0.2">
      <c r="A27" t="s">
        <v>56</v>
      </c>
      <c r="B27">
        <v>1.5783130766205351</v>
      </c>
      <c r="C27">
        <v>1.7079333174997335</v>
      </c>
      <c r="D27">
        <v>1.7425442421209301</v>
      </c>
      <c r="E27">
        <v>1.6840624333555445</v>
      </c>
      <c r="F27">
        <v>1.8248558513017834</v>
      </c>
      <c r="G27">
        <v>1.9120223720372078</v>
      </c>
      <c r="H27">
        <v>1.7886689077576963</v>
      </c>
      <c r="I27">
        <v>1.905229479980181</v>
      </c>
      <c r="J27">
        <v>1.9887112509618416</v>
      </c>
      <c r="K27">
        <v>1.9480677384615859</v>
      </c>
      <c r="L27">
        <v>1.9109932844897293</v>
      </c>
      <c r="M27">
        <v>1.8606770020921559</v>
      </c>
      <c r="N27">
        <v>1.8815092994870053</v>
      </c>
      <c r="O27">
        <v>1.8757042271920132</v>
      </c>
    </row>
    <row r="28" spans="1:37" x14ac:dyDescent="0.2">
      <c r="A28" t="s">
        <v>57</v>
      </c>
      <c r="B28">
        <v>1.6436944100882513</v>
      </c>
      <c r="C28">
        <v>1.7794440289540445</v>
      </c>
      <c r="E28">
        <v>1.5783263284228155</v>
      </c>
      <c r="F28">
        <v>1.7986889660054812</v>
      </c>
      <c r="G28">
        <v>1.9264921458823381</v>
      </c>
      <c r="H28">
        <v>1.8246229988376879</v>
      </c>
      <c r="I28">
        <v>1.968462771235874</v>
      </c>
      <c r="J28">
        <v>1.9980024167322779</v>
      </c>
      <c r="K28">
        <v>1.9537219254194997</v>
      </c>
      <c r="L28">
        <v>1.9257478036535671</v>
      </c>
      <c r="M28">
        <v>1.8275555705518485</v>
      </c>
      <c r="N28">
        <v>1.9143400825332868</v>
      </c>
      <c r="O28">
        <v>1.8546578583569675</v>
      </c>
    </row>
    <row r="29" spans="1:37" x14ac:dyDescent="0.2">
      <c r="A29" t="s">
        <v>58</v>
      </c>
      <c r="B29">
        <v>0.8406868165482162</v>
      </c>
      <c r="C29">
        <v>0.49595128451096482</v>
      </c>
      <c r="D29">
        <v>0.4264672782516466</v>
      </c>
      <c r="E29">
        <v>0.15306616841477005</v>
      </c>
      <c r="F29">
        <v>1.1736480304686632</v>
      </c>
      <c r="G29">
        <v>1.1662671243035903</v>
      </c>
      <c r="H29">
        <v>1.0369616843725391</v>
      </c>
      <c r="I29">
        <v>1.3279425971343701</v>
      </c>
      <c r="J29">
        <v>1.2939461049664618</v>
      </c>
      <c r="K29">
        <v>0.9368299126707571</v>
      </c>
      <c r="L29">
        <v>0.80743812888207056</v>
      </c>
      <c r="M29">
        <v>0.33570711719858437</v>
      </c>
      <c r="N29">
        <v>1.321814443765392</v>
      </c>
      <c r="O29">
        <v>0.92130864375868959</v>
      </c>
    </row>
    <row r="30" spans="1:37" x14ac:dyDescent="0.2">
      <c r="A30" t="s">
        <v>59</v>
      </c>
      <c r="B30">
        <v>0.63321217500751648</v>
      </c>
      <c r="C30">
        <v>0.51931962061585557</v>
      </c>
      <c r="D30">
        <v>0.34085767190248806</v>
      </c>
      <c r="E30">
        <v>0.75556029248890655</v>
      </c>
      <c r="F30">
        <v>1.2026175155313423</v>
      </c>
      <c r="G30">
        <v>1.1326326183650828</v>
      </c>
      <c r="H30">
        <v>0.91729413249400871</v>
      </c>
      <c r="I30">
        <v>1.2693382743964081</v>
      </c>
      <c r="J30">
        <v>1.0953482931223804</v>
      </c>
      <c r="K30">
        <v>0.96070371436835866</v>
      </c>
      <c r="L30">
        <v>1.1721054632247707</v>
      </c>
      <c r="M30">
        <v>0.31355597333809043</v>
      </c>
      <c r="N30">
        <v>1.4206938211735372</v>
      </c>
      <c r="O30">
        <v>0.80732178930343945</v>
      </c>
    </row>
    <row r="31" spans="1:37" x14ac:dyDescent="0.2">
      <c r="A31" t="s">
        <v>60</v>
      </c>
      <c r="B31">
        <v>0.67426291919900694</v>
      </c>
      <c r="C31">
        <v>0.42471394457819106</v>
      </c>
      <c r="D31">
        <v>0.27528962362689402</v>
      </c>
      <c r="E31">
        <v>0.42999218627816571</v>
      </c>
      <c r="F31">
        <v>1.3412290412038892</v>
      </c>
      <c r="G31">
        <v>1.1567550848578221</v>
      </c>
      <c r="H31">
        <v>0.68549671791197342</v>
      </c>
      <c r="I31">
        <v>1.2309727416283296</v>
      </c>
      <c r="J31">
        <v>0.94726095587881565</v>
      </c>
      <c r="K31">
        <v>0.57818346034845336</v>
      </c>
      <c r="L31">
        <v>0.79994468798192753</v>
      </c>
      <c r="M31">
        <v>0.33246790650559149</v>
      </c>
      <c r="N31">
        <v>1.1839191866711161</v>
      </c>
      <c r="O31">
        <v>0.66893547190694813</v>
      </c>
    </row>
    <row r="32" spans="1:37" x14ac:dyDescent="0.2">
      <c r="A32" t="s">
        <v>61</v>
      </c>
      <c r="B32">
        <v>0.75519962938103158</v>
      </c>
      <c r="C32">
        <v>0.37487973689053788</v>
      </c>
      <c r="D32">
        <v>0.77246602994153457</v>
      </c>
      <c r="E32">
        <v>0.33385943984928712</v>
      </c>
      <c r="F32">
        <v>1.5991893219951556</v>
      </c>
      <c r="G32">
        <v>1.438686672883204</v>
      </c>
      <c r="H32">
        <v>1.2788740033292307</v>
      </c>
      <c r="I32">
        <v>1.5770970513129638</v>
      </c>
      <c r="J32">
        <v>1.3081475157717577</v>
      </c>
      <c r="K32">
        <v>0.88245506780532246</v>
      </c>
      <c r="L32">
        <v>1.0108902251336656</v>
      </c>
      <c r="M32">
        <v>6.6415058145045627E-2</v>
      </c>
      <c r="N32">
        <v>1.4968081195097731</v>
      </c>
      <c r="O32">
        <v>0.79520521240658593</v>
      </c>
    </row>
    <row r="33" spans="1:30" x14ac:dyDescent="0.2">
      <c r="A33" t="s">
        <v>62</v>
      </c>
      <c r="B33">
        <v>0.64172233022058367</v>
      </c>
      <c r="C33">
        <v>0.48332284721173507</v>
      </c>
      <c r="D33">
        <v>0.29227427237752757</v>
      </c>
      <c r="E33">
        <v>0.36589295422924434</v>
      </c>
      <c r="F33">
        <v>1.3571197193195281</v>
      </c>
      <c r="G33">
        <v>1.1907174410354919</v>
      </c>
      <c r="H33">
        <v>0.95033030397410245</v>
      </c>
      <c r="I33">
        <v>1.4266195005951421</v>
      </c>
      <c r="J33">
        <v>1.3710714085252114</v>
      </c>
      <c r="K33">
        <v>1.1671264243138915</v>
      </c>
      <c r="L33">
        <v>1.0497446579465251</v>
      </c>
      <c r="M33">
        <v>0.74240782179796649</v>
      </c>
      <c r="N33">
        <v>1.5720098199256345</v>
      </c>
      <c r="O33">
        <v>0.62413526146208109</v>
      </c>
    </row>
    <row r="34" spans="1:30" x14ac:dyDescent="0.2">
      <c r="A34" t="s">
        <v>63</v>
      </c>
      <c r="B34">
        <v>1.4555829756001508</v>
      </c>
      <c r="C34">
        <v>1.5070414053009304</v>
      </c>
      <c r="D34">
        <v>1.8517622737120716</v>
      </c>
      <c r="E34">
        <v>1.6500236624961999</v>
      </c>
      <c r="F34">
        <v>1.6725566364600499</v>
      </c>
      <c r="G34">
        <v>1.8640177840027485</v>
      </c>
      <c r="H34">
        <v>2.1210259871643129</v>
      </c>
      <c r="I34">
        <v>1.7866321893372021</v>
      </c>
      <c r="J34">
        <v>2.0274940053145962</v>
      </c>
      <c r="K34">
        <v>1.8911332854632219</v>
      </c>
      <c r="L34">
        <v>1.8589070818831237</v>
      </c>
      <c r="M34">
        <v>1.9532467687335728</v>
      </c>
      <c r="N34">
        <v>1.8676819270520479</v>
      </c>
      <c r="O34">
        <v>1.8146940818725819</v>
      </c>
    </row>
    <row r="35" spans="1:30" x14ac:dyDescent="0.2">
      <c r="A35" t="s">
        <v>64</v>
      </c>
      <c r="B35">
        <v>0.82414049165970982</v>
      </c>
      <c r="C35">
        <v>0.6416255080736798</v>
      </c>
      <c r="D35">
        <v>0.93103702511893482</v>
      </c>
      <c r="E35">
        <v>0.65509181794972948</v>
      </c>
      <c r="F35">
        <v>1.3377819883853024</v>
      </c>
      <c r="G35">
        <v>1.5620589736946633</v>
      </c>
      <c r="H35">
        <v>1.3021316681889314</v>
      </c>
      <c r="I35">
        <v>1.4094043075919067</v>
      </c>
      <c r="J35">
        <v>1.344165581667645</v>
      </c>
      <c r="K35">
        <v>1.2870024385729621</v>
      </c>
      <c r="L35">
        <v>0.93904572276896847</v>
      </c>
      <c r="M35">
        <v>0.91424961880952405</v>
      </c>
      <c r="N35">
        <v>1.3298282645667874</v>
      </c>
      <c r="O35">
        <v>0.77318719010816361</v>
      </c>
    </row>
    <row r="36" spans="1:30" x14ac:dyDescent="0.2">
      <c r="A36">
        <v>0</v>
      </c>
      <c r="B36">
        <v>1.5625</v>
      </c>
      <c r="C36">
        <v>4.5</v>
      </c>
      <c r="D36">
        <v>7.5</v>
      </c>
      <c r="E36">
        <v>10.5</v>
      </c>
      <c r="F36">
        <v>13.5</v>
      </c>
      <c r="G36">
        <v>16.5</v>
      </c>
      <c r="H36">
        <v>19.5</v>
      </c>
      <c r="I36">
        <v>22.5</v>
      </c>
      <c r="J36">
        <v>25.5</v>
      </c>
      <c r="K36">
        <v>28.5</v>
      </c>
      <c r="L36">
        <v>31.5</v>
      </c>
      <c r="M36">
        <v>34.5</v>
      </c>
      <c r="N36">
        <v>37.5</v>
      </c>
      <c r="O36">
        <v>40.5</v>
      </c>
    </row>
    <row r="37" spans="1:30" x14ac:dyDescent="0.2">
      <c r="A37" t="s">
        <v>65</v>
      </c>
      <c r="B37">
        <v>1.5803395195959402</v>
      </c>
      <c r="C37">
        <v>1.727064662484753</v>
      </c>
      <c r="D37">
        <v>1.7262210143457553</v>
      </c>
      <c r="E37">
        <v>1.6288216930455335</v>
      </c>
      <c r="F37">
        <v>1.822110687718844</v>
      </c>
      <c r="G37">
        <v>1.8805276221558551</v>
      </c>
      <c r="H37">
        <v>1.7641986534619789</v>
      </c>
      <c r="I37">
        <v>1.9285797786856378</v>
      </c>
      <c r="J37">
        <v>1.9488298848242085</v>
      </c>
      <c r="K37">
        <v>1.9005473561974582</v>
      </c>
      <c r="L37">
        <v>1.86915405385781</v>
      </c>
      <c r="M37">
        <v>1.9072649818880361</v>
      </c>
      <c r="N37">
        <v>1.8566205906179003</v>
      </c>
      <c r="O37">
        <v>1.8687466801364774</v>
      </c>
    </row>
    <row r="38" spans="1:30" x14ac:dyDescent="0.2">
      <c r="A38" t="s">
        <v>43</v>
      </c>
      <c r="B38">
        <v>0.70901677407127095</v>
      </c>
      <c r="C38">
        <v>0.45963748676145688</v>
      </c>
      <c r="D38">
        <v>0.42147097522001814</v>
      </c>
      <c r="E38">
        <v>0.40767420825207468</v>
      </c>
      <c r="F38">
        <v>1.3347607257037157</v>
      </c>
      <c r="G38">
        <v>1.2170117882890381</v>
      </c>
      <c r="H38">
        <v>0.97379136841637082</v>
      </c>
      <c r="I38">
        <v>1.3663940330134428</v>
      </c>
      <c r="J38">
        <v>1.2031548556529255</v>
      </c>
      <c r="K38">
        <v>0.9050597159013567</v>
      </c>
      <c r="L38">
        <v>0.9680246326337919</v>
      </c>
      <c r="M38">
        <v>0.35811077539705566</v>
      </c>
      <c r="N38">
        <v>1.3990490782090907</v>
      </c>
      <c r="O38">
        <v>0.76338127576754888</v>
      </c>
    </row>
    <row r="39" spans="1:30" x14ac:dyDescent="0.2">
      <c r="A39" t="s">
        <v>6</v>
      </c>
      <c r="B39">
        <v>1.4555829756001508</v>
      </c>
      <c r="C39">
        <v>1.5070414053009304</v>
      </c>
      <c r="D39">
        <v>1.8517622737120716</v>
      </c>
      <c r="E39">
        <v>1.6500236624961999</v>
      </c>
      <c r="F39">
        <v>1.6725566364600499</v>
      </c>
      <c r="G39">
        <v>1.8640177840027485</v>
      </c>
      <c r="H39">
        <v>2.1210259871643129</v>
      </c>
      <c r="I39">
        <v>1.7866321893372021</v>
      </c>
      <c r="J39">
        <v>2.0274940053145962</v>
      </c>
      <c r="K39">
        <v>1.8911332854632219</v>
      </c>
      <c r="L39">
        <v>1.8589070818831237</v>
      </c>
      <c r="M39">
        <v>1.9532467687335728</v>
      </c>
      <c r="N39">
        <v>1.8676819270520479</v>
      </c>
      <c r="O39">
        <v>1.8146940818725819</v>
      </c>
    </row>
    <row r="40" spans="1:30" x14ac:dyDescent="0.2">
      <c r="A40" t="s">
        <v>66</v>
      </c>
      <c r="B40">
        <v>0.82414049165970982</v>
      </c>
      <c r="C40">
        <v>0.6416255080736798</v>
      </c>
      <c r="D40">
        <v>0.93103702511893482</v>
      </c>
      <c r="E40">
        <v>0.65509181794972948</v>
      </c>
      <c r="F40">
        <v>1.3377819883853024</v>
      </c>
      <c r="G40">
        <v>1.5620589736946633</v>
      </c>
      <c r="H40">
        <v>1.3021316681889314</v>
      </c>
      <c r="I40">
        <v>1.4094043075919067</v>
      </c>
      <c r="J40">
        <v>1.344165581667645</v>
      </c>
      <c r="K40">
        <v>1.2870024385729621</v>
      </c>
      <c r="L40">
        <v>0.93904572276896847</v>
      </c>
      <c r="M40">
        <v>0.91424961880952405</v>
      </c>
      <c r="N40">
        <v>1.3298282645667874</v>
      </c>
      <c r="O40">
        <v>0.77318719010816361</v>
      </c>
    </row>
    <row r="41" spans="1:30" x14ac:dyDescent="0.2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1:30" x14ac:dyDescent="0.2">
      <c r="A42" t="s">
        <v>65</v>
      </c>
      <c r="B42">
        <v>6.1032720321085129E-2</v>
      </c>
      <c r="C42">
        <v>3.9847960514201128E-2</v>
      </c>
      <c r="D42">
        <v>7.0513514740449479E-2</v>
      </c>
      <c r="E42">
        <v>4.6742769338980437E-2</v>
      </c>
      <c r="F42">
        <v>4.7367467217880647E-2</v>
      </c>
      <c r="G42">
        <v>4.8826219239975072E-2</v>
      </c>
      <c r="H42">
        <v>7.2506814101923694E-2</v>
      </c>
      <c r="I42">
        <v>8.5775933829869686E-2</v>
      </c>
      <c r="J42">
        <v>4.5634576063088815E-2</v>
      </c>
      <c r="K42">
        <v>6.5140375040587464E-2</v>
      </c>
      <c r="L42">
        <v>6.0331726244282416E-2</v>
      </c>
      <c r="M42">
        <v>9.6710978661392014E-2</v>
      </c>
      <c r="N42">
        <v>4.7370482508478126E-2</v>
      </c>
      <c r="O42">
        <v>2.0382416531117557E-2</v>
      </c>
    </row>
    <row r="43" spans="1:30" x14ac:dyDescent="0.2">
      <c r="A43" t="s">
        <v>43</v>
      </c>
      <c r="B43">
        <v>8.7966706843150666E-2</v>
      </c>
      <c r="C43">
        <v>5.8832761429907898E-2</v>
      </c>
      <c r="D43">
        <v>0.20480586645264329</v>
      </c>
      <c r="E43">
        <v>0.21996725149478574</v>
      </c>
      <c r="F43">
        <v>0.16873305455522475</v>
      </c>
      <c r="G43">
        <v>0.12565516573720326</v>
      </c>
      <c r="H43">
        <v>0.21443068091137374</v>
      </c>
      <c r="I43">
        <v>0.13897853092138449</v>
      </c>
      <c r="J43">
        <v>0.17646984248413788</v>
      </c>
      <c r="K43">
        <v>0.21221664413175462</v>
      </c>
      <c r="L43">
        <v>0.16140283451163182</v>
      </c>
      <c r="M43">
        <v>0.24285552410219169</v>
      </c>
      <c r="N43">
        <v>0.15181139797455506</v>
      </c>
      <c r="O43">
        <v>0.1185264185745586</v>
      </c>
    </row>
    <row r="44" spans="1:30" x14ac:dyDescent="0.2">
      <c r="A44" t="s">
        <v>52</v>
      </c>
    </row>
    <row r="45" spans="1:30" x14ac:dyDescent="0.2">
      <c r="A45" t="s">
        <v>151</v>
      </c>
      <c r="B45" t="s">
        <v>53</v>
      </c>
      <c r="C45">
        <v>1.5E-3</v>
      </c>
      <c r="D45">
        <v>0.19126732909000005</v>
      </c>
      <c r="E45">
        <v>1E-3</v>
      </c>
      <c r="F45">
        <v>0.14860658544899999</v>
      </c>
      <c r="G45">
        <v>1E-3</v>
      </c>
      <c r="H45">
        <v>0.1857775254</v>
      </c>
      <c r="I45">
        <v>5.0000000000000001E-4</v>
      </c>
      <c r="J45">
        <v>5.7371558717999996E-2</v>
      </c>
      <c r="K45">
        <v>5.0000000000000001E-4</v>
      </c>
      <c r="L45">
        <v>0.100822009542</v>
      </c>
      <c r="M45">
        <v>5.0000000000000001E-4</v>
      </c>
      <c r="N45">
        <v>0.15413442387254003</v>
      </c>
      <c r="O45">
        <v>5.0000000000000001E-4</v>
      </c>
      <c r="P45">
        <v>8.4313499730000005E-2</v>
      </c>
      <c r="Q45">
        <v>5.0000000000000001E-4</v>
      </c>
      <c r="R45">
        <v>9.0883490689999999E-2</v>
      </c>
      <c r="S45">
        <v>5.0000000000000001E-4</v>
      </c>
      <c r="T45">
        <v>9.2113199489999992E-2</v>
      </c>
      <c r="U45">
        <v>5.0000000000000001E-4</v>
      </c>
      <c r="V45">
        <v>0.12651560027100001</v>
      </c>
      <c r="W45">
        <v>5.0000000000000001E-4</v>
      </c>
      <c r="X45">
        <v>0.10649651576900004</v>
      </c>
      <c r="Y45">
        <v>5.0000000000000001E-4</v>
      </c>
      <c r="Z45">
        <v>0.1032871789</v>
      </c>
      <c r="AA45">
        <v>5.0000000000000001E-4</v>
      </c>
      <c r="AB45">
        <v>8.5126062993999982E-2</v>
      </c>
      <c r="AC45">
        <v>1E-3</v>
      </c>
      <c r="AD45">
        <v>0.16147792306000006</v>
      </c>
    </row>
    <row r="46" spans="1:30" x14ac:dyDescent="0.2">
      <c r="B46" t="s">
        <v>54</v>
      </c>
      <c r="C46">
        <v>1.5E-3</v>
      </c>
      <c r="D46">
        <v>0.19393920909000006</v>
      </c>
      <c r="E46">
        <v>1E-3</v>
      </c>
      <c r="F46">
        <v>0.17461410944899997</v>
      </c>
      <c r="G46">
        <v>1E-3</v>
      </c>
      <c r="H46">
        <v>0.17096512540000003</v>
      </c>
      <c r="I46">
        <v>5.0000000000000001E-4</v>
      </c>
      <c r="J46">
        <v>5.8514266718000002E-2</v>
      </c>
      <c r="K46">
        <v>5.0000000000000001E-4</v>
      </c>
      <c r="L46">
        <v>9.9244681541999988E-2</v>
      </c>
      <c r="M46">
        <v>5.0000000000000001E-4</v>
      </c>
      <c r="N46">
        <v>0.14894462387253998</v>
      </c>
      <c r="O46">
        <v>5.0000000000000001E-4</v>
      </c>
      <c r="P46">
        <v>8.9334275730000037E-2</v>
      </c>
      <c r="Q46">
        <v>5.0000000000000001E-4</v>
      </c>
      <c r="R46">
        <v>9.6234278690000008E-2</v>
      </c>
      <c r="S46">
        <v>5.0000000000000001E-4</v>
      </c>
      <c r="T46">
        <v>9.5753663489999988E-2</v>
      </c>
      <c r="U46">
        <v>5.0000000000000001E-4</v>
      </c>
      <c r="V46">
        <v>0.142480564271</v>
      </c>
      <c r="W46">
        <v>5.0000000000000001E-4</v>
      </c>
      <c r="X46">
        <v>0.122422319769</v>
      </c>
      <c r="Y46">
        <v>5.0000000000000001E-4</v>
      </c>
      <c r="Z46">
        <v>9.5569666899999989E-2</v>
      </c>
      <c r="AA46">
        <v>5.0000000000000001E-4</v>
      </c>
      <c r="AB46">
        <v>8.2670010994000009E-2</v>
      </c>
      <c r="AC46">
        <v>1E-3</v>
      </c>
      <c r="AD46">
        <v>0.15994144305999997</v>
      </c>
    </row>
    <row r="47" spans="1:30" x14ac:dyDescent="0.2">
      <c r="B47" t="s">
        <v>55</v>
      </c>
      <c r="C47">
        <v>1.5E-3</v>
      </c>
      <c r="D47">
        <v>0.21934980909000007</v>
      </c>
      <c r="E47">
        <v>1E-3</v>
      </c>
      <c r="F47">
        <v>0.11888089344899999</v>
      </c>
      <c r="G47">
        <v>1E-3</v>
      </c>
      <c r="H47">
        <v>0.37022904539999996</v>
      </c>
      <c r="I47">
        <v>5.0000000000000001E-4</v>
      </c>
      <c r="J47">
        <v>6.4844426718000003E-2</v>
      </c>
      <c r="K47">
        <v>5.0000000000000001E-4</v>
      </c>
      <c r="L47">
        <v>0.10839264954199998</v>
      </c>
      <c r="M47">
        <v>5.0000000000000001E-4</v>
      </c>
      <c r="N47">
        <v>0.16697118387254004</v>
      </c>
      <c r="O47">
        <v>5.0000000000000001E-4</v>
      </c>
      <c r="P47">
        <v>0.11008369572999999</v>
      </c>
      <c r="Q47">
        <v>5.0000000000000001E-4</v>
      </c>
      <c r="R47">
        <v>9.393147869E-2</v>
      </c>
      <c r="S47">
        <v>5.0000000000000001E-4</v>
      </c>
      <c r="T47">
        <v>0.14083220748999997</v>
      </c>
      <c r="U47">
        <v>5.0000000000000001E-4</v>
      </c>
      <c r="V47">
        <v>0.17583084427099999</v>
      </c>
      <c r="W47">
        <v>5.0000000000000001E-4</v>
      </c>
      <c r="X47">
        <v>0.11855007176899995</v>
      </c>
      <c r="Y47">
        <v>5.0000000000000001E-4</v>
      </c>
      <c r="Z47">
        <v>0.1033467549</v>
      </c>
      <c r="AA47">
        <v>5.0000000000000001E-4</v>
      </c>
      <c r="AB47">
        <v>8.9854710993999984E-2</v>
      </c>
      <c r="AC47">
        <v>1E-3</v>
      </c>
      <c r="AD47">
        <v>0.17179080306000002</v>
      </c>
    </row>
    <row r="48" spans="1:30" x14ac:dyDescent="0.2">
      <c r="B48" t="s">
        <v>56</v>
      </c>
      <c r="C48">
        <v>1.5E-3</v>
      </c>
      <c r="D48">
        <v>0.20774464908999996</v>
      </c>
      <c r="E48">
        <v>1E-3</v>
      </c>
      <c r="F48">
        <v>0.14706602944900002</v>
      </c>
      <c r="G48">
        <v>1E-3</v>
      </c>
      <c r="H48">
        <v>0.29035636539999998</v>
      </c>
      <c r="I48">
        <v>5.0000000000000001E-4</v>
      </c>
      <c r="J48">
        <v>6.2614858718000016E-2</v>
      </c>
      <c r="K48">
        <v>5.0000000000000001E-4</v>
      </c>
      <c r="L48">
        <v>8.9116821541999999E-2</v>
      </c>
      <c r="M48">
        <v>5.0000000000000001E-4</v>
      </c>
      <c r="N48">
        <v>0.21441030387253998</v>
      </c>
      <c r="O48">
        <v>5.0000000000000001E-4</v>
      </c>
      <c r="P48">
        <v>9.1281519729999969E-2</v>
      </c>
      <c r="Q48">
        <v>5.0000000000000001E-4</v>
      </c>
      <c r="R48">
        <v>0.10982861069000001</v>
      </c>
      <c r="S48">
        <v>5.0000000000000001E-4</v>
      </c>
      <c r="T48">
        <v>0.12314399548999999</v>
      </c>
      <c r="U48">
        <v>5.0000000000000001E-4</v>
      </c>
      <c r="V48">
        <v>0.15647952427100001</v>
      </c>
      <c r="W48">
        <v>5.0000000000000001E-4</v>
      </c>
      <c r="X48">
        <v>0.15507738776899996</v>
      </c>
      <c r="Y48">
        <v>5.0000000000000001E-4</v>
      </c>
      <c r="Z48">
        <v>0.12868483889999999</v>
      </c>
      <c r="AA48">
        <v>5.0000000000000001E-4</v>
      </c>
      <c r="AB48">
        <v>9.9669798994000011E-2</v>
      </c>
      <c r="AC48">
        <v>1E-3</v>
      </c>
      <c r="AD48">
        <v>0.18317392305999999</v>
      </c>
    </row>
    <row r="49" spans="1:30" x14ac:dyDescent="0.2">
      <c r="B49" t="s">
        <v>57</v>
      </c>
      <c r="C49">
        <v>1.5E-3</v>
      </c>
      <c r="D49">
        <v>0.27767904909000002</v>
      </c>
      <c r="E49">
        <v>1E-3</v>
      </c>
      <c r="F49">
        <v>8.674080944900002E-2</v>
      </c>
      <c r="G49">
        <v>1E-3</v>
      </c>
      <c r="H49">
        <v>0.52685920539999986</v>
      </c>
      <c r="I49">
        <v>5.0000000000000001E-4</v>
      </c>
      <c r="J49">
        <v>6.1038918718000004E-2</v>
      </c>
      <c r="K49">
        <v>5.0000000000000001E-4</v>
      </c>
      <c r="L49">
        <v>0.15631252154199995</v>
      </c>
      <c r="M49">
        <v>5.0000000000000001E-4</v>
      </c>
      <c r="N49">
        <v>0.19164198387253997</v>
      </c>
      <c r="O49">
        <v>5.0000000000000001E-4</v>
      </c>
      <c r="P49">
        <v>7.3209707729999976E-2</v>
      </c>
      <c r="Q49">
        <v>5.0000000000000001E-4</v>
      </c>
      <c r="R49">
        <v>0.13087227068999999</v>
      </c>
      <c r="S49">
        <v>5.0000000000000001E-4</v>
      </c>
      <c r="T49">
        <v>0.14075728748999999</v>
      </c>
      <c r="U49">
        <v>5.0000000000000001E-4</v>
      </c>
      <c r="V49">
        <v>0.14331200427099997</v>
      </c>
      <c r="W49">
        <v>5.0000000000000001E-4</v>
      </c>
      <c r="X49">
        <v>0.184227747769</v>
      </c>
      <c r="Y49">
        <v>5.0000000000000001E-4</v>
      </c>
      <c r="Z49">
        <v>9.6111950899999993E-2</v>
      </c>
      <c r="AA49">
        <v>5.0000000000000001E-4</v>
      </c>
      <c r="AB49">
        <v>8.1706134994000007E-2</v>
      </c>
      <c r="AC49">
        <v>1E-3</v>
      </c>
      <c r="AD49">
        <v>0.25384188306</v>
      </c>
    </row>
    <row r="50" spans="1:30" x14ac:dyDescent="0.2">
      <c r="A50" t="s">
        <v>38</v>
      </c>
      <c r="B50" t="s">
        <v>58</v>
      </c>
      <c r="C50">
        <v>3.0000000000000001E-3</v>
      </c>
      <c r="D50">
        <v>1.8186549090000004E-2</v>
      </c>
      <c r="E50">
        <v>3.0000000000000001E-3</v>
      </c>
      <c r="F50">
        <v>1.0832150248999998E-2</v>
      </c>
      <c r="G50">
        <v>3.0000000000000001E-3</v>
      </c>
      <c r="H50">
        <v>4.9110017399999997E-2</v>
      </c>
      <c r="I50">
        <v>3.0000000000000001E-3</v>
      </c>
      <c r="J50">
        <v>2.0515170718000002E-2</v>
      </c>
      <c r="K50">
        <v>1.8E-3</v>
      </c>
      <c r="L50">
        <v>2.3709161542000003E-2</v>
      </c>
      <c r="M50">
        <v>1.8500000000000001E-3</v>
      </c>
      <c r="N50">
        <v>5.4336966725400029E-3</v>
      </c>
      <c r="O50">
        <v>1.5E-3</v>
      </c>
      <c r="P50">
        <v>3.9127343729999993E-2</v>
      </c>
      <c r="Q50">
        <v>3.0000000000000001E-3</v>
      </c>
      <c r="R50">
        <v>3.995614669E-2</v>
      </c>
      <c r="S50">
        <v>3.0000000000000001E-3</v>
      </c>
      <c r="T50">
        <v>3.596600749E-2</v>
      </c>
      <c r="U50">
        <v>3.0000000000000001E-3</v>
      </c>
      <c r="V50">
        <v>0.11373917627099998</v>
      </c>
      <c r="W50">
        <v>3.0000000000000001E-3</v>
      </c>
      <c r="X50">
        <v>9.4661203769000002E-2</v>
      </c>
      <c r="Y50">
        <v>0.01</v>
      </c>
      <c r="Z50">
        <v>0.22699397490000001</v>
      </c>
      <c r="AA50">
        <v>6.0000000000000001E-3</v>
      </c>
      <c r="AB50">
        <v>0.113567726994</v>
      </c>
      <c r="AC50">
        <v>6.0000000000000001E-3</v>
      </c>
      <c r="AD50">
        <v>0.15315000306000001</v>
      </c>
    </row>
    <row r="51" spans="1:30" x14ac:dyDescent="0.2">
      <c r="B51" t="s">
        <v>59</v>
      </c>
      <c r="C51">
        <v>3.0000000000000001E-3</v>
      </c>
      <c r="D51">
        <v>1.8267544690000002E-2</v>
      </c>
      <c r="E51">
        <v>3.0000000000000001E-3</v>
      </c>
      <c r="F51">
        <v>9.9074134489999955E-3</v>
      </c>
      <c r="G51">
        <v>3.0000000000000001E-3</v>
      </c>
      <c r="H51">
        <v>2.0977057399999999E-2</v>
      </c>
      <c r="I51">
        <v>3.0000000000000001E-3</v>
      </c>
      <c r="J51">
        <v>3.0064238718000003E-2</v>
      </c>
      <c r="K51">
        <v>3.0000000000000001E-3</v>
      </c>
      <c r="L51">
        <v>2.8645329542000008E-2</v>
      </c>
      <c r="M51">
        <v>1.8500000000000001E-3</v>
      </c>
      <c r="N51">
        <v>5.0000000000000001E-4</v>
      </c>
      <c r="O51">
        <v>3.0000000000000001E-3</v>
      </c>
      <c r="P51">
        <v>5.3901059729999999E-2</v>
      </c>
      <c r="Q51">
        <v>3.0000000000000001E-3</v>
      </c>
      <c r="R51">
        <v>1.6869450689999999E-2</v>
      </c>
      <c r="S51">
        <v>3.0000000000000001E-3</v>
      </c>
      <c r="T51">
        <v>3.0582107489999996E-2</v>
      </c>
      <c r="U51">
        <v>3.0000000000000001E-3</v>
      </c>
      <c r="V51">
        <v>4.3329624270999997E-2</v>
      </c>
      <c r="W51">
        <v>3.0000000000000001E-3</v>
      </c>
      <c r="X51">
        <v>6.8374823769000004E-2</v>
      </c>
      <c r="Y51">
        <v>0.01</v>
      </c>
      <c r="Z51">
        <v>0.20141919951538464</v>
      </c>
      <c r="AA51">
        <v>6.0000000000000001E-3</v>
      </c>
      <c r="AB51">
        <v>0.137787070994</v>
      </c>
      <c r="AC51">
        <v>6.0000000000000001E-3</v>
      </c>
      <c r="AD51">
        <v>0.18331492306000002</v>
      </c>
    </row>
    <row r="52" spans="1:30" x14ac:dyDescent="0.2">
      <c r="B52" t="s">
        <v>60</v>
      </c>
      <c r="C52">
        <v>3.0000000000000001E-3</v>
      </c>
      <c r="D52">
        <v>2.1041169090000002E-2</v>
      </c>
      <c r="E52">
        <v>3.0000000000000001E-3</v>
      </c>
      <c r="F52">
        <v>2.3112902648999997E-2</v>
      </c>
      <c r="G52">
        <v>3.0000000000000001E-3</v>
      </c>
      <c r="H52">
        <v>1.8957635800000001E-2</v>
      </c>
      <c r="I52">
        <v>3.0000000000000001E-3</v>
      </c>
      <c r="J52">
        <v>6.493274718E-3</v>
      </c>
      <c r="K52">
        <v>2.7000000000000001E-3</v>
      </c>
      <c r="L52">
        <v>4.8721229541999991E-2</v>
      </c>
      <c r="M52">
        <v>2.7000000000000001E-3</v>
      </c>
      <c r="N52">
        <v>3.6402297925400007E-3</v>
      </c>
      <c r="O52">
        <v>2E-3</v>
      </c>
      <c r="P52">
        <v>2.4313879730000001E-2</v>
      </c>
      <c r="Q52">
        <v>3.0000000000000001E-3</v>
      </c>
      <c r="R52">
        <v>6.512108669000001E-2</v>
      </c>
      <c r="S52">
        <v>3.0000000000000001E-3</v>
      </c>
      <c r="T52">
        <v>5.6547967489999997E-2</v>
      </c>
      <c r="U52">
        <v>3.0000000000000001E-3</v>
      </c>
      <c r="V52">
        <v>0.14162422827100002</v>
      </c>
      <c r="W52">
        <v>3.0000000000000001E-3</v>
      </c>
      <c r="X52">
        <v>0.142209595769</v>
      </c>
      <c r="Y52">
        <v>0.01</v>
      </c>
      <c r="Z52">
        <v>0.4897760149</v>
      </c>
      <c r="AA52">
        <v>6.0000000000000001E-3</v>
      </c>
      <c r="AB52">
        <v>0.208200990994</v>
      </c>
      <c r="AC52">
        <v>6.0000000000000001E-3</v>
      </c>
      <c r="AD52">
        <v>0.33562704306000007</v>
      </c>
    </row>
    <row r="53" spans="1:30" x14ac:dyDescent="0.2">
      <c r="B53" t="s">
        <v>61</v>
      </c>
      <c r="C53">
        <v>3.0000000000000001E-3</v>
      </c>
      <c r="D53">
        <v>1.960018509E-2</v>
      </c>
      <c r="E53">
        <v>3.0000000000000001E-3</v>
      </c>
      <c r="F53">
        <v>1.8903993848999996E-2</v>
      </c>
      <c r="G53">
        <v>3.0000000000000001E-3</v>
      </c>
      <c r="H53">
        <v>9.9107985999999978E-3</v>
      </c>
      <c r="I53">
        <v>3.0000000000000001E-3</v>
      </c>
      <c r="J53">
        <v>1.3659325518E-2</v>
      </c>
      <c r="K53">
        <v>3.5999999999999999E-3</v>
      </c>
      <c r="L53">
        <v>5.5170421542000012E-2</v>
      </c>
      <c r="M53">
        <v>3.0000000000000001E-3</v>
      </c>
      <c r="N53">
        <v>1.5718177072539995E-2</v>
      </c>
      <c r="O53">
        <v>3.0000000000000001E-3</v>
      </c>
      <c r="P53">
        <v>5.2968411730000005E-2</v>
      </c>
      <c r="Q53">
        <v>3.0000000000000001E-3</v>
      </c>
      <c r="R53">
        <v>7.7932502690000016E-2</v>
      </c>
      <c r="S53">
        <v>3.0000000000000001E-3</v>
      </c>
      <c r="T53">
        <v>4.8983511489999992E-2</v>
      </c>
      <c r="U53">
        <v>3.0000000000000001E-3</v>
      </c>
      <c r="V53">
        <v>0.14073734827100001</v>
      </c>
      <c r="W53">
        <v>3.0000000000000001E-3</v>
      </c>
      <c r="X53">
        <v>9.5070415768999994E-2</v>
      </c>
      <c r="Y53">
        <v>0.01</v>
      </c>
      <c r="Z53">
        <v>0.30935557490000004</v>
      </c>
      <c r="AA53">
        <v>6.0000000000000001E-3</v>
      </c>
      <c r="AB53">
        <v>0.10952912299400004</v>
      </c>
      <c r="AC53">
        <v>6.0000000000000001E-3</v>
      </c>
      <c r="AD53">
        <v>0.24274972305999998</v>
      </c>
    </row>
    <row r="54" spans="1:30" x14ac:dyDescent="0.2">
      <c r="B54" t="s">
        <v>62</v>
      </c>
      <c r="C54">
        <v>3.0000000000000001E-3</v>
      </c>
      <c r="D54">
        <v>2.2240577090000005E-2</v>
      </c>
      <c r="E54">
        <v>3.0000000000000001E-3</v>
      </c>
      <c r="F54">
        <v>7.9820706490000021E-3</v>
      </c>
      <c r="G54">
        <v>3.0000000000000001E-3</v>
      </c>
      <c r="H54">
        <v>1.1163180999999998E-2</v>
      </c>
      <c r="I54">
        <v>3.0000000000000001E-3</v>
      </c>
      <c r="J54">
        <v>9.9716683179999991E-3</v>
      </c>
      <c r="K54">
        <v>1.2999999999999999E-3</v>
      </c>
      <c r="L54">
        <v>9.7331803420000005E-3</v>
      </c>
      <c r="M54">
        <v>1E-3</v>
      </c>
      <c r="N54">
        <v>5.0000000000000001E-4</v>
      </c>
      <c r="O54">
        <v>3.0000000000000001E-3</v>
      </c>
      <c r="P54">
        <v>2.9734411730000011E-2</v>
      </c>
      <c r="Q54">
        <v>3.0000000000000001E-3</v>
      </c>
      <c r="R54">
        <v>5.3647174690000007E-2</v>
      </c>
      <c r="S54">
        <v>3.0000000000000001E-3</v>
      </c>
      <c r="T54">
        <v>1.9359223490000008E-2</v>
      </c>
      <c r="U54">
        <v>3.0000000000000001E-3</v>
      </c>
      <c r="V54">
        <v>5.0186724270999995E-2</v>
      </c>
      <c r="W54">
        <v>3.0000000000000001E-3</v>
      </c>
      <c r="X54">
        <v>4.7552963769000013E-2</v>
      </c>
      <c r="Y54">
        <v>0.01</v>
      </c>
      <c r="Z54">
        <v>0.19685869489999999</v>
      </c>
      <c r="AA54">
        <v>6.0000000000000001E-3</v>
      </c>
      <c r="AB54">
        <v>7.1712518994000024E-2</v>
      </c>
      <c r="AC54">
        <v>6.0000000000000001E-3</v>
      </c>
      <c r="AD54">
        <v>0.12139249906000002</v>
      </c>
    </row>
    <row r="55" spans="1:30" x14ac:dyDescent="0.2">
      <c r="B55" t="s">
        <v>63</v>
      </c>
      <c r="C55">
        <v>1.5E-3</v>
      </c>
      <c r="D55">
        <v>0.13278264108999999</v>
      </c>
      <c r="E55">
        <v>1E-3</v>
      </c>
      <c r="F55">
        <v>0.14488968944900005</v>
      </c>
      <c r="G55">
        <v>1E-3</v>
      </c>
      <c r="H55">
        <v>0.14711608540000001</v>
      </c>
      <c r="I55">
        <v>5.0000000000000001E-4</v>
      </c>
      <c r="J55">
        <v>4.9110750718000001E-2</v>
      </c>
      <c r="K55">
        <v>5.0000000000000001E-4</v>
      </c>
      <c r="L55">
        <v>6.0684889541999992E-2</v>
      </c>
      <c r="M55">
        <v>5.0000000000000001E-4</v>
      </c>
      <c r="N55">
        <v>8.9832491872540013E-2</v>
      </c>
      <c r="O55">
        <v>5.0000000000000001E-4</v>
      </c>
      <c r="P55">
        <v>8.4302583730000019E-2</v>
      </c>
      <c r="Q55">
        <v>5.0000000000000001E-4</v>
      </c>
      <c r="R55">
        <v>6.3228766690000021E-2</v>
      </c>
      <c r="S55">
        <v>5.0000000000000001E-4</v>
      </c>
      <c r="T55">
        <v>5.5791967489999997E-2</v>
      </c>
      <c r="U55">
        <v>5.0000000000000001E-4</v>
      </c>
      <c r="V55">
        <v>8.8128960270999993E-2</v>
      </c>
      <c r="W55">
        <v>5.0000000000000001E-4</v>
      </c>
      <c r="X55">
        <v>6.6508375768999983E-2</v>
      </c>
      <c r="Y55">
        <v>5.0000000000000001E-4</v>
      </c>
      <c r="Z55">
        <v>7.9200974899999999E-2</v>
      </c>
      <c r="AA55">
        <v>5.0000000000000001E-4</v>
      </c>
      <c r="AB55">
        <v>4.5676378994000004E-2</v>
      </c>
      <c r="AC55">
        <v>1E-3</v>
      </c>
      <c r="AD55">
        <v>0.12593239505999995</v>
      </c>
    </row>
    <row r="56" spans="1:30" x14ac:dyDescent="0.2">
      <c r="B56" t="s">
        <v>64</v>
      </c>
      <c r="C56">
        <v>3.0000000000000001E-3</v>
      </c>
      <c r="D56">
        <v>2.7175789090000006E-2</v>
      </c>
      <c r="E56">
        <v>3.0000000000000001E-3</v>
      </c>
      <c r="F56">
        <v>1.4397773448999998E-2</v>
      </c>
      <c r="G56">
        <v>3.0000000000000001E-3</v>
      </c>
      <c r="H56">
        <v>1.1856966000000019E-3</v>
      </c>
      <c r="I56">
        <v>3.0000000000000001E-3</v>
      </c>
      <c r="J56">
        <v>-8.847401999999456E-6</v>
      </c>
      <c r="K56">
        <v>3.0000000000000001E-3</v>
      </c>
      <c r="L56">
        <v>6.5915647420000008E-3</v>
      </c>
      <c r="M56">
        <v>3.0000000000000001E-3</v>
      </c>
      <c r="N56">
        <v>3.6411358725399988E-3</v>
      </c>
      <c r="O56">
        <v>3.0000000000000001E-3</v>
      </c>
      <c r="P56">
        <v>3.5252133299999997E-3</v>
      </c>
      <c r="Q56">
        <v>1.5E-3</v>
      </c>
      <c r="R56">
        <v>1.1832746900000005E-3</v>
      </c>
      <c r="S56">
        <v>1.5E-3</v>
      </c>
      <c r="T56">
        <v>2.0043119489999997E-2</v>
      </c>
      <c r="U56">
        <v>3.0000000000000001E-3</v>
      </c>
      <c r="V56">
        <v>5.9875376271000008E-2</v>
      </c>
      <c r="W56">
        <v>3.0000000000000001E-3</v>
      </c>
      <c r="X56">
        <v>6.9817087769000002E-2</v>
      </c>
      <c r="Y56">
        <v>0.01</v>
      </c>
      <c r="Z56">
        <v>0.1422720989</v>
      </c>
      <c r="AA56">
        <v>6.0000000000000001E-3</v>
      </c>
      <c r="AB56">
        <v>6.1682778993999994E-2</v>
      </c>
      <c r="AC56">
        <v>6.0000000000000001E-3</v>
      </c>
      <c r="AD56">
        <v>9.4198431060000018E-2</v>
      </c>
    </row>
    <row r="57" spans="1:30" x14ac:dyDescent="0.2">
      <c r="A57" t="s">
        <v>150</v>
      </c>
      <c r="C57">
        <v>0.125</v>
      </c>
      <c r="D57">
        <v>3</v>
      </c>
      <c r="E57">
        <v>3</v>
      </c>
      <c r="F57">
        <v>6</v>
      </c>
      <c r="G57">
        <v>6</v>
      </c>
      <c r="H57">
        <v>9</v>
      </c>
      <c r="I57">
        <v>9</v>
      </c>
      <c r="J57">
        <v>12</v>
      </c>
      <c r="K57">
        <v>12</v>
      </c>
      <c r="L57">
        <v>15</v>
      </c>
      <c r="M57">
        <v>15</v>
      </c>
      <c r="N57">
        <v>18</v>
      </c>
      <c r="O57">
        <v>18</v>
      </c>
      <c r="P57">
        <v>21</v>
      </c>
      <c r="Q57">
        <v>21</v>
      </c>
      <c r="R57">
        <v>24</v>
      </c>
      <c r="S57">
        <v>24</v>
      </c>
      <c r="T57">
        <v>27</v>
      </c>
      <c r="U57">
        <v>27</v>
      </c>
      <c r="V57">
        <v>30</v>
      </c>
      <c r="W57">
        <v>30</v>
      </c>
      <c r="X57">
        <v>33</v>
      </c>
      <c r="Y57">
        <v>33</v>
      </c>
      <c r="Z57">
        <v>36</v>
      </c>
      <c r="AA57">
        <v>36</v>
      </c>
      <c r="AB57">
        <v>39</v>
      </c>
      <c r="AC57">
        <v>39</v>
      </c>
      <c r="AD57">
        <v>42</v>
      </c>
    </row>
    <row r="58" spans="1:30" x14ac:dyDescent="0.2">
      <c r="B58" t="s">
        <v>65</v>
      </c>
      <c r="C58">
        <v>1.5E-3</v>
      </c>
      <c r="D58">
        <v>0.21799600909000003</v>
      </c>
      <c r="E58">
        <v>1E-3</v>
      </c>
      <c r="F58">
        <v>0.135181685449</v>
      </c>
      <c r="G58">
        <v>1E-3</v>
      </c>
      <c r="H58">
        <v>0.30883745339999991</v>
      </c>
      <c r="I58">
        <v>5.0000000000000001E-4</v>
      </c>
      <c r="J58">
        <v>6.0876805918000008E-2</v>
      </c>
      <c r="K58">
        <v>5.0000000000000001E-4</v>
      </c>
      <c r="L58">
        <v>0.110777736742</v>
      </c>
      <c r="M58">
        <v>5.0000000000000001E-4</v>
      </c>
      <c r="N58">
        <v>0.17522050387254001</v>
      </c>
      <c r="O58">
        <v>5.0000000000000001E-4</v>
      </c>
      <c r="P58">
        <v>8.964453973E-2</v>
      </c>
      <c r="Q58">
        <v>5.0000000000000001E-4</v>
      </c>
      <c r="R58">
        <v>0.10435002589</v>
      </c>
      <c r="S58">
        <v>5.0000000000000001E-4</v>
      </c>
      <c r="T58">
        <v>0.11852007068999999</v>
      </c>
      <c r="U58">
        <v>5.0000000000000001E-4</v>
      </c>
      <c r="V58">
        <v>0.14892370747100001</v>
      </c>
      <c r="W58">
        <v>5.0000000000000001E-4</v>
      </c>
      <c r="X58">
        <v>0.13735480856899998</v>
      </c>
      <c r="Y58">
        <v>5.0000000000000001E-4</v>
      </c>
      <c r="Z58">
        <v>0.10540007809999999</v>
      </c>
      <c r="AA58">
        <v>5.0000000000000001E-4</v>
      </c>
      <c r="AB58">
        <v>8.7805343793999999E-2</v>
      </c>
      <c r="AC58">
        <v>1E-3</v>
      </c>
      <c r="AD58">
        <v>0.18604519506</v>
      </c>
    </row>
    <row r="59" spans="1:30" x14ac:dyDescent="0.2">
      <c r="B59" t="s">
        <v>43</v>
      </c>
      <c r="C59">
        <v>3.0000000000000001E-3</v>
      </c>
      <c r="D59">
        <v>1.9867205010000003E-2</v>
      </c>
      <c r="E59">
        <v>3.0000000000000001E-3</v>
      </c>
      <c r="F59">
        <v>1.4147706168999996E-2</v>
      </c>
      <c r="G59">
        <v>3.0000000000000001E-3</v>
      </c>
      <c r="H59">
        <v>2.2023738039999997E-2</v>
      </c>
      <c r="I59">
        <v>3.0000000000000001E-3</v>
      </c>
      <c r="J59">
        <v>1.6140735598000003E-2</v>
      </c>
      <c r="K59">
        <v>2.4800000000000004E-3</v>
      </c>
      <c r="L59">
        <v>3.3195864502000003E-2</v>
      </c>
      <c r="M59">
        <v>2.0799999999999998E-3</v>
      </c>
      <c r="N59">
        <v>5.1584207075239998E-3</v>
      </c>
      <c r="O59">
        <v>2.5000000000000001E-3</v>
      </c>
      <c r="P59">
        <v>4.0009021330000005E-2</v>
      </c>
      <c r="Q59">
        <v>3.0000000000000001E-3</v>
      </c>
      <c r="R59">
        <v>5.0705272290000006E-2</v>
      </c>
      <c r="S59">
        <v>3.0000000000000001E-3</v>
      </c>
      <c r="T59">
        <v>3.8287763489999994E-2</v>
      </c>
      <c r="U59">
        <v>3.0000000000000001E-3</v>
      </c>
      <c r="V59">
        <v>9.7923420271000011E-2</v>
      </c>
      <c r="W59">
        <v>3.0000000000000001E-3</v>
      </c>
      <c r="X59">
        <v>8.9573800569000009E-2</v>
      </c>
      <c r="Y59">
        <v>0.01</v>
      </c>
      <c r="Z59">
        <v>0.28488069182307696</v>
      </c>
      <c r="AA59">
        <v>6.0000000000000001E-3</v>
      </c>
      <c r="AB59">
        <v>0.12815948619400003</v>
      </c>
      <c r="AC59">
        <v>6.0000000000000001E-3</v>
      </c>
      <c r="AD59">
        <v>0.20724683825999998</v>
      </c>
    </row>
    <row r="60" spans="1:30" x14ac:dyDescent="0.2">
      <c r="B60" t="s">
        <v>6</v>
      </c>
      <c r="C60">
        <v>1.5E-3</v>
      </c>
      <c r="D60">
        <v>0.13278264108999999</v>
      </c>
      <c r="E60">
        <v>1E-3</v>
      </c>
      <c r="F60">
        <v>0.14488968944900005</v>
      </c>
      <c r="G60">
        <v>1E-3</v>
      </c>
      <c r="H60">
        <v>0.14711608540000001</v>
      </c>
      <c r="I60">
        <v>5.0000000000000001E-4</v>
      </c>
      <c r="J60">
        <v>4.9110750718000001E-2</v>
      </c>
      <c r="K60">
        <v>5.0000000000000001E-4</v>
      </c>
      <c r="L60">
        <v>6.0684889541999992E-2</v>
      </c>
      <c r="M60">
        <v>5.0000000000000001E-4</v>
      </c>
      <c r="N60">
        <v>8.9832491872540013E-2</v>
      </c>
      <c r="O60">
        <v>5.0000000000000001E-4</v>
      </c>
      <c r="P60">
        <v>8.4302583730000019E-2</v>
      </c>
      <c r="Q60">
        <v>5.0000000000000001E-4</v>
      </c>
      <c r="R60">
        <v>6.3228766690000021E-2</v>
      </c>
      <c r="S60">
        <v>5.0000000000000001E-4</v>
      </c>
      <c r="T60">
        <v>5.5791967489999997E-2</v>
      </c>
      <c r="U60">
        <v>5.0000000000000001E-4</v>
      </c>
      <c r="V60">
        <v>8.8128960270999993E-2</v>
      </c>
      <c r="W60">
        <v>5.0000000000000001E-4</v>
      </c>
      <c r="X60">
        <v>6.6508375768999983E-2</v>
      </c>
      <c r="Y60">
        <v>5.0000000000000001E-4</v>
      </c>
      <c r="Z60">
        <v>7.9200974899999999E-2</v>
      </c>
      <c r="AA60">
        <v>5.0000000000000001E-4</v>
      </c>
      <c r="AB60">
        <v>4.5676378994000004E-2</v>
      </c>
      <c r="AC60">
        <v>1E-3</v>
      </c>
      <c r="AD60">
        <v>0.12593239505999995</v>
      </c>
    </row>
    <row r="61" spans="1:30" x14ac:dyDescent="0.2">
      <c r="B61" t="s">
        <v>66</v>
      </c>
      <c r="C61">
        <v>3.0000000000000001E-3</v>
      </c>
      <c r="D61">
        <v>2.7175789090000006E-2</v>
      </c>
      <c r="E61">
        <v>3.0000000000000001E-3</v>
      </c>
      <c r="F61">
        <v>1.4397773448999998E-2</v>
      </c>
      <c r="G61">
        <v>3.0000000000000001E-3</v>
      </c>
      <c r="H61">
        <v>1.1856966000000019E-3</v>
      </c>
      <c r="I61">
        <v>3.0000000000000001E-3</v>
      </c>
      <c r="J61">
        <v>-8.847401999999456E-6</v>
      </c>
      <c r="K61">
        <v>3.0000000000000001E-3</v>
      </c>
      <c r="L61">
        <v>6.5915647420000008E-3</v>
      </c>
      <c r="M61">
        <v>3.0000000000000001E-3</v>
      </c>
      <c r="N61">
        <v>3.6411358725399988E-3</v>
      </c>
      <c r="O61">
        <v>3.0000000000000001E-3</v>
      </c>
      <c r="P61">
        <v>3.5252133299999997E-3</v>
      </c>
      <c r="Q61">
        <v>1.5E-3</v>
      </c>
      <c r="R61">
        <v>1.1832746900000005E-3</v>
      </c>
      <c r="S61">
        <v>1.5E-3</v>
      </c>
      <c r="T61">
        <v>2.0043119489999997E-2</v>
      </c>
      <c r="U61">
        <v>3.0000000000000001E-3</v>
      </c>
      <c r="V61">
        <v>5.9875376271000008E-2</v>
      </c>
      <c r="W61">
        <v>3.0000000000000001E-3</v>
      </c>
      <c r="X61">
        <v>6.9817087769000002E-2</v>
      </c>
      <c r="Y61">
        <v>0.01</v>
      </c>
      <c r="Z61">
        <v>0.1422720989</v>
      </c>
      <c r="AA61">
        <v>6.0000000000000001E-3</v>
      </c>
      <c r="AB61">
        <v>6.1682778993999994E-2</v>
      </c>
      <c r="AC61">
        <v>6.0000000000000001E-3</v>
      </c>
      <c r="AD61">
        <v>9.4198431060000018E-2</v>
      </c>
    </row>
    <row r="63" spans="1:30" x14ac:dyDescent="0.2">
      <c r="A63" t="s">
        <v>38</v>
      </c>
      <c r="B63" t="s">
        <v>65</v>
      </c>
      <c r="C63">
        <v>0</v>
      </c>
      <c r="D63">
        <v>3.5221230744799277E-2</v>
      </c>
      <c r="E63">
        <v>0</v>
      </c>
      <c r="F63">
        <v>3.3498566843638042E-2</v>
      </c>
      <c r="G63">
        <v>0</v>
      </c>
      <c r="H63">
        <v>0.1464551870322561</v>
      </c>
      <c r="I63">
        <v>0</v>
      </c>
      <c r="J63">
        <v>3.027270730903866E-3</v>
      </c>
      <c r="K63">
        <v>0</v>
      </c>
      <c r="L63">
        <v>2.6364883753596122E-2</v>
      </c>
      <c r="M63">
        <v>0</v>
      </c>
      <c r="N63">
        <v>2.7425359384307041E-2</v>
      </c>
      <c r="O63">
        <v>0</v>
      </c>
      <c r="P63">
        <v>1.3407635470248426E-2</v>
      </c>
      <c r="Q63">
        <v>0</v>
      </c>
      <c r="R63">
        <v>1.6501540907652351E-2</v>
      </c>
      <c r="S63">
        <v>0</v>
      </c>
      <c r="T63">
        <v>2.3607933430934609E-2</v>
      </c>
      <c r="U63">
        <v>0</v>
      </c>
      <c r="V63">
        <v>1.8413398339771202E-2</v>
      </c>
      <c r="W63">
        <v>0</v>
      </c>
      <c r="X63">
        <v>3.1780472877055842E-2</v>
      </c>
      <c r="Y63">
        <v>0</v>
      </c>
      <c r="Z63">
        <v>1.3544065637306897E-2</v>
      </c>
      <c r="AA63">
        <v>0</v>
      </c>
      <c r="AB63">
        <v>7.343632270056231E-3</v>
      </c>
      <c r="AC63">
        <v>0</v>
      </c>
      <c r="AD63">
        <v>3.9028129342682079E-2</v>
      </c>
    </row>
    <row r="64" spans="1:30" x14ac:dyDescent="0.2">
      <c r="B64" t="s">
        <v>43</v>
      </c>
      <c r="C64">
        <v>0</v>
      </c>
      <c r="D64">
        <v>1.7653543404755982E-3</v>
      </c>
      <c r="E64">
        <v>0</v>
      </c>
      <c r="F64">
        <v>6.5189162288554914E-3</v>
      </c>
      <c r="G64">
        <v>0</v>
      </c>
      <c r="H64">
        <v>1.5881105550090393E-2</v>
      </c>
      <c r="I64">
        <v>0</v>
      </c>
      <c r="J64">
        <v>9.3579900389074121E-3</v>
      </c>
      <c r="K64">
        <v>9.2574294488264935E-4</v>
      </c>
      <c r="L64">
        <v>1.8608603965604438E-2</v>
      </c>
      <c r="M64">
        <v>7.9104361447394293E-4</v>
      </c>
      <c r="N64">
        <v>6.2707834832724059E-3</v>
      </c>
      <c r="O64">
        <v>7.0710678118654751E-4</v>
      </c>
      <c r="P64">
        <v>1.3356804989531443E-2</v>
      </c>
      <c r="Q64">
        <v>0</v>
      </c>
      <c r="R64">
        <v>2.3548880516452701E-2</v>
      </c>
      <c r="S64">
        <v>0</v>
      </c>
      <c r="T64">
        <v>1.475543448400108E-2</v>
      </c>
      <c r="U64">
        <v>0</v>
      </c>
      <c r="V64">
        <v>4.8094193763851607E-2</v>
      </c>
      <c r="W64">
        <v>0</v>
      </c>
      <c r="X64">
        <v>3.5502706689250277E-2</v>
      </c>
      <c r="Y64">
        <v>0</v>
      </c>
      <c r="Z64">
        <v>0.123131716016946</v>
      </c>
      <c r="AA64">
        <v>0</v>
      </c>
      <c r="AB64">
        <v>5.0610282688704135E-2</v>
      </c>
      <c r="AC64">
        <v>0</v>
      </c>
      <c r="AD64">
        <v>8.4575563132734607E-2</v>
      </c>
    </row>
    <row r="65" spans="1:30" x14ac:dyDescent="0.2">
      <c r="A65" t="s">
        <v>75</v>
      </c>
    </row>
    <row r="66" spans="1:30" x14ac:dyDescent="0.2">
      <c r="A66" t="s">
        <v>151</v>
      </c>
      <c r="B66" t="s">
        <v>53</v>
      </c>
      <c r="C66">
        <v>1.5E-3</v>
      </c>
      <c r="D66">
        <v>0.11876286122</v>
      </c>
      <c r="E66">
        <v>1.5E-3</v>
      </c>
      <c r="F66">
        <v>0.22683082861000001</v>
      </c>
      <c r="G66">
        <v>1.5E-3</v>
      </c>
      <c r="H66">
        <v>0.21782904922999999</v>
      </c>
      <c r="I66">
        <v>1.5E-3</v>
      </c>
      <c r="J66">
        <v>0.22244623889999995</v>
      </c>
      <c r="K66">
        <v>1.5E-3</v>
      </c>
      <c r="L66">
        <v>0.29093580866999996</v>
      </c>
      <c r="M66">
        <v>1.5E-3</v>
      </c>
      <c r="N66">
        <v>0.36052606998999986</v>
      </c>
      <c r="O66">
        <v>1.5E-3</v>
      </c>
      <c r="P66">
        <v>0.24061609749999999</v>
      </c>
      <c r="Q66">
        <v>5.0000000000000001E-4</v>
      </c>
      <c r="R66">
        <v>0.12069068051160001</v>
      </c>
      <c r="S66">
        <v>5.0000000000000001E-4</v>
      </c>
      <c r="T66">
        <v>0.15301689569999996</v>
      </c>
      <c r="U66">
        <v>5.0000000000000001E-4</v>
      </c>
      <c r="V66">
        <v>0.13399906015800001</v>
      </c>
      <c r="W66">
        <v>5.0000000000000001E-4</v>
      </c>
      <c r="X66">
        <v>0.10185197817000001</v>
      </c>
      <c r="Y66">
        <v>5.0000000000000001E-4</v>
      </c>
      <c r="Z66">
        <v>0.14453509748000001</v>
      </c>
      <c r="AA66">
        <v>5.0000000000000001E-4</v>
      </c>
      <c r="AB66">
        <v>0.11574379734999998</v>
      </c>
      <c r="AC66">
        <v>5.0000000000000001E-4</v>
      </c>
      <c r="AD66">
        <v>0.12749669789900001</v>
      </c>
    </row>
    <row r="67" spans="1:30" x14ac:dyDescent="0.2">
      <c r="B67" t="s">
        <v>54</v>
      </c>
      <c r="C67">
        <v>1.5E-3</v>
      </c>
      <c r="D67">
        <v>0.11825955722000002</v>
      </c>
      <c r="E67">
        <v>1.5E-3</v>
      </c>
      <c r="F67">
        <v>0.26982726861</v>
      </c>
      <c r="G67">
        <v>1.5E-3</v>
      </c>
      <c r="H67">
        <v>0.23499960923000002</v>
      </c>
      <c r="I67">
        <v>1.5E-3</v>
      </c>
      <c r="J67">
        <v>0.19825147889999997</v>
      </c>
      <c r="K67">
        <v>1.5E-3</v>
      </c>
      <c r="L67">
        <v>0.39082224866999998</v>
      </c>
      <c r="M67">
        <v>1.5E-3</v>
      </c>
      <c r="N67">
        <v>0.36088354999</v>
      </c>
      <c r="O67">
        <v>1.5E-3</v>
      </c>
      <c r="P67">
        <v>0.23277065749999995</v>
      </c>
      <c r="Q67">
        <v>5.0000000000000001E-4</v>
      </c>
      <c r="R67">
        <v>0.14368657651160002</v>
      </c>
      <c r="S67">
        <v>5.0000000000000001E-4</v>
      </c>
      <c r="T67">
        <v>0.14831234770000001</v>
      </c>
      <c r="U67">
        <v>5.0000000000000001E-4</v>
      </c>
      <c r="V67">
        <v>0.11186707615799998</v>
      </c>
      <c r="W67">
        <v>5.0000000000000001E-4</v>
      </c>
      <c r="X67">
        <v>0.13181001417000002</v>
      </c>
      <c r="Y67">
        <v>5.0000000000000001E-4</v>
      </c>
      <c r="Z67">
        <v>0.14264769748</v>
      </c>
      <c r="AA67">
        <v>5.0000000000000001E-4</v>
      </c>
      <c r="AB67">
        <v>0.11111416535000003</v>
      </c>
      <c r="AC67">
        <v>5.0000000000000001E-4</v>
      </c>
      <c r="AD67">
        <v>0.13529018189899999</v>
      </c>
    </row>
    <row r="68" spans="1:30" x14ac:dyDescent="0.2">
      <c r="B68" t="s">
        <v>55</v>
      </c>
      <c r="C68">
        <v>1.5E-3</v>
      </c>
      <c r="D68">
        <v>0.16741802122000002</v>
      </c>
      <c r="E68">
        <v>1.5E-3</v>
      </c>
      <c r="F68">
        <v>0.28096966861</v>
      </c>
      <c r="G68">
        <v>1.5E-3</v>
      </c>
      <c r="H68">
        <v>0.35076635323000005</v>
      </c>
      <c r="I68">
        <v>1.5E-3</v>
      </c>
      <c r="J68">
        <v>0.1754462389</v>
      </c>
      <c r="K68">
        <v>1.5E-3</v>
      </c>
      <c r="L68">
        <v>0.41824428866999991</v>
      </c>
      <c r="M68">
        <v>1.5E-3</v>
      </c>
      <c r="N68">
        <v>0.46065366999000007</v>
      </c>
      <c r="O68">
        <v>1.5E-3</v>
      </c>
      <c r="P68">
        <v>0.36732353750000002</v>
      </c>
      <c r="Q68">
        <v>5.0000000000000001E-4</v>
      </c>
      <c r="R68">
        <v>0.23682301651159998</v>
      </c>
      <c r="S68">
        <v>5.0000000000000001E-4</v>
      </c>
      <c r="T68">
        <v>0.1746871877</v>
      </c>
      <c r="U68">
        <v>5.0000000000000001E-4</v>
      </c>
      <c r="V68">
        <v>0.16538162415800001</v>
      </c>
      <c r="W68">
        <v>5.0000000000000001E-4</v>
      </c>
      <c r="X68">
        <v>0.14015708617</v>
      </c>
      <c r="Y68">
        <v>5.0000000000000001E-4</v>
      </c>
      <c r="Z68">
        <v>0.25237981748000005</v>
      </c>
      <c r="AA68">
        <v>5.0000000000000001E-4</v>
      </c>
      <c r="AB68">
        <v>0.13705494135000001</v>
      </c>
      <c r="AC68">
        <v>5.0000000000000001E-4</v>
      </c>
      <c r="AD68">
        <v>0.14918094589900002</v>
      </c>
    </row>
    <row r="69" spans="1:30" x14ac:dyDescent="0.2">
      <c r="B69" t="s">
        <v>56</v>
      </c>
      <c r="C69">
        <v>1.5E-3</v>
      </c>
      <c r="D69">
        <v>0.14020634122</v>
      </c>
      <c r="E69">
        <v>1.5E-3</v>
      </c>
      <c r="F69">
        <v>0.25195866860999999</v>
      </c>
      <c r="G69">
        <v>1.5E-3</v>
      </c>
      <c r="H69">
        <v>0.27952670522999995</v>
      </c>
      <c r="I69">
        <v>1.5E-3</v>
      </c>
      <c r="J69">
        <v>0.23454615889999997</v>
      </c>
      <c r="K69">
        <v>1.5E-3</v>
      </c>
      <c r="L69">
        <v>0.35782092866999993</v>
      </c>
      <c r="M69">
        <v>1.5E-3</v>
      </c>
      <c r="N69">
        <v>0.46476514999000013</v>
      </c>
      <c r="O69">
        <v>1.5E-3</v>
      </c>
      <c r="P69">
        <v>0.3210098575</v>
      </c>
      <c r="Q69">
        <v>5.0000000000000001E-4</v>
      </c>
      <c r="R69">
        <v>0.15179656851160003</v>
      </c>
      <c r="S69">
        <v>5.0000000000000001E-4</v>
      </c>
      <c r="T69">
        <v>0.19499746769999998</v>
      </c>
      <c r="U69">
        <v>5.0000000000000001E-4</v>
      </c>
      <c r="V69">
        <v>0.17261368015799999</v>
      </c>
      <c r="W69">
        <v>5.0000000000000001E-4</v>
      </c>
      <c r="X69">
        <v>0.15444417016999998</v>
      </c>
      <c r="Y69">
        <v>5.0000000000000001E-4</v>
      </c>
      <c r="Z69">
        <v>0.13280525747999999</v>
      </c>
      <c r="AA69">
        <v>5.0000000000000001E-4</v>
      </c>
      <c r="AB69">
        <v>0.14137002135000001</v>
      </c>
      <c r="AC69">
        <v>5.0000000000000001E-4</v>
      </c>
      <c r="AD69">
        <v>0.138929345899</v>
      </c>
    </row>
    <row r="70" spans="1:30" x14ac:dyDescent="0.2">
      <c r="B70" t="s">
        <v>57</v>
      </c>
      <c r="C70">
        <v>1.5E-3</v>
      </c>
      <c r="D70">
        <v>0.16920086121999997</v>
      </c>
      <c r="E70">
        <v>1.5E-3</v>
      </c>
      <c r="F70">
        <v>0.31224782861</v>
      </c>
      <c r="G70">
        <v>0.31224782861</v>
      </c>
      <c r="H70">
        <v>1.3452326492300004</v>
      </c>
      <c r="I70">
        <v>1.5E-3</v>
      </c>
      <c r="J70">
        <v>0.17079159890000001</v>
      </c>
      <c r="K70">
        <v>1.5E-3</v>
      </c>
      <c r="L70">
        <v>0.33080596866999995</v>
      </c>
      <c r="M70">
        <v>1.5E-3</v>
      </c>
      <c r="N70">
        <v>0.48538458999000006</v>
      </c>
      <c r="O70">
        <v>1.5E-3</v>
      </c>
      <c r="P70">
        <v>0.35757105750000007</v>
      </c>
      <c r="Q70">
        <v>5.0000000000000001E-4</v>
      </c>
      <c r="R70">
        <v>0.18350485651160009</v>
      </c>
      <c r="S70">
        <v>5.0000000000000001E-4</v>
      </c>
      <c r="T70">
        <v>0.20050918769999998</v>
      </c>
      <c r="U70">
        <v>5.0000000000000001E-4</v>
      </c>
      <c r="V70">
        <v>0.17556662415800001</v>
      </c>
      <c r="W70">
        <v>5.0000000000000001E-4</v>
      </c>
      <c r="X70">
        <v>0.16143397417000002</v>
      </c>
      <c r="Y70">
        <v>5.0000000000000001E-4</v>
      </c>
      <c r="Z70">
        <v>0.12024358148000003</v>
      </c>
      <c r="AA70">
        <v>5.0000000000000001E-4</v>
      </c>
      <c r="AB70">
        <v>0.15600266135000002</v>
      </c>
      <c r="AC70">
        <v>5.0000000000000001E-4</v>
      </c>
      <c r="AD70">
        <v>0.13042865789899999</v>
      </c>
    </row>
    <row r="71" spans="1:30" x14ac:dyDescent="0.2">
      <c r="A71" t="s">
        <v>38</v>
      </c>
      <c r="B71" t="s">
        <v>58</v>
      </c>
      <c r="C71">
        <v>1.5E-3</v>
      </c>
      <c r="D71">
        <v>1.6817831219999996E-2</v>
      </c>
      <c r="E71">
        <v>1.5E-3</v>
      </c>
      <c r="F71">
        <v>6.6413746099999995E-3</v>
      </c>
      <c r="G71">
        <v>1.25E-3</v>
      </c>
      <c r="H71">
        <v>4.493111230000001E-3</v>
      </c>
      <c r="I71">
        <v>1.5E-3</v>
      </c>
      <c r="J71">
        <v>2.3742072999999985E-3</v>
      </c>
      <c r="K71">
        <v>1.5E-3</v>
      </c>
      <c r="L71">
        <v>5.0724508670000015E-2</v>
      </c>
      <c r="M71">
        <v>1.5E-3</v>
      </c>
      <c r="N71">
        <v>4.961367399000001E-2</v>
      </c>
      <c r="O71">
        <v>1.5E-3</v>
      </c>
      <c r="P71">
        <v>3.3661345500000002E-2</v>
      </c>
      <c r="Q71">
        <v>3.0000000000000001E-3</v>
      </c>
      <c r="R71">
        <v>0.16116683651159999</v>
      </c>
      <c r="S71">
        <v>3.0000000000000001E-3</v>
      </c>
      <c r="T71">
        <v>0.14553994770000001</v>
      </c>
      <c r="U71">
        <v>3.0000000000000001E-3</v>
      </c>
      <c r="V71">
        <v>4.9854164157999994E-2</v>
      </c>
      <c r="W71">
        <v>3.0000000000000001E-3</v>
      </c>
      <c r="X71">
        <v>3.3815750169999992E-2</v>
      </c>
      <c r="Y71">
        <v>3.0000000000000001E-3</v>
      </c>
      <c r="Z71">
        <v>8.2131262799999983E-3</v>
      </c>
      <c r="AA71">
        <v>3.0000000000000001E-3</v>
      </c>
      <c r="AB71">
        <v>0.15823094135000002</v>
      </c>
      <c r="AC71">
        <v>3.0000000000000001E-3</v>
      </c>
      <c r="AD71">
        <v>4.7585981898999999E-2</v>
      </c>
    </row>
    <row r="72" spans="1:30" x14ac:dyDescent="0.2">
      <c r="B72" t="s">
        <v>59</v>
      </c>
      <c r="C72">
        <v>1.5E-3</v>
      </c>
      <c r="D72">
        <v>9.2622788200000025E-3</v>
      </c>
      <c r="E72">
        <v>1.5E-3</v>
      </c>
      <c r="F72">
        <v>7.1236766100000017E-3</v>
      </c>
      <c r="G72">
        <v>1.34E-3</v>
      </c>
      <c r="H72">
        <v>3.7256548300000011E-3</v>
      </c>
      <c r="I72">
        <v>1.250595709739E-3</v>
      </c>
      <c r="J72">
        <v>1.2064905700000003E-2</v>
      </c>
      <c r="K72">
        <v>1.5E-3</v>
      </c>
      <c r="L72">
        <v>5.533013266999999E-2</v>
      </c>
      <c r="M72">
        <v>1.5E-3</v>
      </c>
      <c r="N72">
        <v>4.4851765990000007E-2</v>
      </c>
      <c r="O72">
        <v>1.5E-3</v>
      </c>
      <c r="P72">
        <v>2.3508157900000007E-2</v>
      </c>
      <c r="Q72">
        <v>3.0000000000000001E-3</v>
      </c>
      <c r="R72">
        <v>0.13518268851160001</v>
      </c>
      <c r="S72">
        <v>3.0000000000000001E-3</v>
      </c>
      <c r="T72">
        <v>8.0210719700000002E-2</v>
      </c>
      <c r="U72">
        <v>3.0000000000000001E-3</v>
      </c>
      <c r="V72">
        <v>5.3555764158000001E-2</v>
      </c>
      <c r="W72">
        <v>3.0000000000000001E-3</v>
      </c>
      <c r="X72">
        <v>0.10098062617000002</v>
      </c>
      <c r="Y72">
        <v>3.0000000000000001E-3</v>
      </c>
      <c r="Z72">
        <v>7.6850755569230766E-3</v>
      </c>
      <c r="AA72">
        <v>1E-3</v>
      </c>
      <c r="AB72">
        <v>7.0957525349999981E-2</v>
      </c>
      <c r="AC72">
        <v>3.0000000000000001E-3</v>
      </c>
      <c r="AD72">
        <v>3.3803949898999999E-2</v>
      </c>
    </row>
    <row r="73" spans="1:30" x14ac:dyDescent="0.2">
      <c r="B73" t="s">
        <v>60</v>
      </c>
      <c r="C73">
        <v>1.5E-3</v>
      </c>
      <c r="D73">
        <v>1.0422542420000003E-2</v>
      </c>
      <c r="E73">
        <v>1.5E-3</v>
      </c>
      <c r="F73">
        <v>5.3634474099999987E-3</v>
      </c>
      <c r="G73">
        <v>1.5E-3</v>
      </c>
      <c r="H73">
        <v>3.4257964300000009E-3</v>
      </c>
      <c r="I73">
        <v>1.5E-3</v>
      </c>
      <c r="J73">
        <v>5.4490521000000007E-3</v>
      </c>
      <c r="K73">
        <v>1.5E-3</v>
      </c>
      <c r="L73">
        <v>8.3860292670000017E-2</v>
      </c>
      <c r="M73">
        <v>1.5E-3</v>
      </c>
      <c r="N73">
        <v>4.8217901990000006E-2</v>
      </c>
      <c r="O73">
        <v>1.5E-3</v>
      </c>
      <c r="P73">
        <v>1.1727719900000003E-2</v>
      </c>
      <c r="Q73">
        <v>3.0000000000000001E-3</v>
      </c>
      <c r="R73">
        <v>0.12048563251159999</v>
      </c>
      <c r="S73">
        <v>3.0000000000000001E-3</v>
      </c>
      <c r="T73">
        <v>5.1438923699999986E-2</v>
      </c>
      <c r="U73">
        <v>3.0000000000000001E-3</v>
      </c>
      <c r="V73">
        <v>1.6999138557999997E-2</v>
      </c>
      <c r="W73">
        <v>3.0000000000000001E-3</v>
      </c>
      <c r="X73">
        <v>3.3064042169999988E-2</v>
      </c>
      <c r="Y73">
        <v>3.0000000000000001E-3</v>
      </c>
      <c r="Z73">
        <v>8.1337006800000031E-3</v>
      </c>
      <c r="AA73">
        <v>3.0000000000000001E-3</v>
      </c>
      <c r="AB73">
        <v>0.10462367335000002</v>
      </c>
      <c r="AC73">
        <v>3.0000000000000001E-3</v>
      </c>
      <c r="AD73">
        <v>2.2318561898999997E-2</v>
      </c>
    </row>
    <row r="74" spans="1:30" x14ac:dyDescent="0.2">
      <c r="B74" t="s">
        <v>61</v>
      </c>
      <c r="C74">
        <v>1.5E-3</v>
      </c>
      <c r="D74">
        <v>1.3153186420000004E-2</v>
      </c>
      <c r="E74">
        <v>1.5E-3</v>
      </c>
      <c r="F74">
        <v>4.6186586100000005E-3</v>
      </c>
      <c r="G74">
        <v>1.415E-3</v>
      </c>
      <c r="H74">
        <v>1.436116403E-2</v>
      </c>
      <c r="I74">
        <v>1.5E-3</v>
      </c>
      <c r="J74">
        <v>4.0838632999999989E-3</v>
      </c>
      <c r="K74">
        <v>1.5E-3</v>
      </c>
      <c r="L74">
        <v>0.18182288866999999</v>
      </c>
      <c r="M74">
        <v>1.5E-3</v>
      </c>
      <c r="N74">
        <v>0.11233945399</v>
      </c>
      <c r="O74">
        <v>1.5E-3</v>
      </c>
      <c r="P74">
        <v>6.9552865499999991E-2</v>
      </c>
      <c r="Q74">
        <v>3.0000000000000001E-3</v>
      </c>
      <c r="R74">
        <v>0.34032581651159999</v>
      </c>
      <c r="S74">
        <v>3.0000000000000001E-3</v>
      </c>
      <c r="T74">
        <v>0.15187454769999997</v>
      </c>
      <c r="U74">
        <v>3.0000000000000001E-3</v>
      </c>
      <c r="V74">
        <v>4.2350384158E-2</v>
      </c>
      <c r="W74">
        <v>3.0000000000000001E-3</v>
      </c>
      <c r="X74">
        <v>6.2257746170000003E-2</v>
      </c>
      <c r="Y74">
        <v>3.0000000000000001E-3</v>
      </c>
      <c r="Z74">
        <v>3.6614434799999984E-3</v>
      </c>
      <c r="AA74">
        <v>1E-3</v>
      </c>
      <c r="AB74">
        <v>8.9159273349999971E-2</v>
      </c>
      <c r="AC74">
        <v>3.0000000000000001E-3</v>
      </c>
      <c r="AD74">
        <v>3.2597249898999994E-2</v>
      </c>
    </row>
    <row r="75" spans="1:30" x14ac:dyDescent="0.2">
      <c r="B75" t="s">
        <v>62</v>
      </c>
      <c r="C75">
        <v>1.5E-3</v>
      </c>
      <c r="D75">
        <v>9.4916912199999991E-3</v>
      </c>
      <c r="E75">
        <v>1.5E-3</v>
      </c>
      <c r="F75">
        <v>6.3944706100000004E-3</v>
      </c>
      <c r="G75">
        <v>1.3699999999999999E-3</v>
      </c>
      <c r="H75">
        <v>3.2924552299999996E-3</v>
      </c>
      <c r="I75">
        <v>1.3157604252759998E-3</v>
      </c>
      <c r="J75">
        <v>3.9435984999999993E-3</v>
      </c>
      <c r="K75">
        <v>1.3709179250000003E-3</v>
      </c>
      <c r="L75">
        <v>8.0385972670000014E-2</v>
      </c>
      <c r="M75">
        <v>1.5E-3</v>
      </c>
      <c r="N75">
        <v>5.3389677989999995E-2</v>
      </c>
      <c r="O75">
        <v>1.5E-3</v>
      </c>
      <c r="P75">
        <v>2.5957381500000005E-2</v>
      </c>
      <c r="Q75">
        <v>3.0000000000000001E-3</v>
      </c>
      <c r="R75">
        <v>0.21669065651160002</v>
      </c>
      <c r="S75">
        <v>3.0000000000000001E-3</v>
      </c>
      <c r="T75">
        <v>0.18342878770000007</v>
      </c>
      <c r="U75">
        <v>3.0000000000000001E-3</v>
      </c>
      <c r="V75">
        <v>9.9483476157999989E-2</v>
      </c>
      <c r="W75">
        <v>3.0000000000000001E-3</v>
      </c>
      <c r="X75">
        <v>6.9954586169999985E-2</v>
      </c>
      <c r="Y75">
        <v>3.0000000000000001E-3</v>
      </c>
      <c r="Z75">
        <v>2.7822241480000003E-2</v>
      </c>
      <c r="AA75">
        <v>3.0000000000000001E-3</v>
      </c>
      <c r="AB75">
        <v>0.33517130135000001</v>
      </c>
      <c r="AC75">
        <v>3.0000000000000001E-3</v>
      </c>
      <c r="AD75">
        <v>1.9511773899000006E-2</v>
      </c>
    </row>
    <row r="76" spans="1:30" x14ac:dyDescent="0.2">
      <c r="B76" t="s">
        <v>63</v>
      </c>
      <c r="C76">
        <v>1.5E-3</v>
      </c>
      <c r="D76">
        <v>9.8520649220000006E-2</v>
      </c>
      <c r="E76">
        <v>1.5E-3</v>
      </c>
      <c r="F76">
        <v>0.13790834861000001</v>
      </c>
      <c r="G76">
        <v>1.5E-3</v>
      </c>
      <c r="H76">
        <v>0.38790168923000007</v>
      </c>
      <c r="I76">
        <v>1.5E-3</v>
      </c>
      <c r="J76">
        <v>0.21177747889999995</v>
      </c>
      <c r="K76">
        <v>1.5E-3</v>
      </c>
      <c r="L76">
        <v>0.22658836866999998</v>
      </c>
      <c r="M76">
        <v>1.5E-3</v>
      </c>
      <c r="N76">
        <v>0.40242890999000008</v>
      </c>
      <c r="O76">
        <v>1.5E-3</v>
      </c>
      <c r="P76">
        <v>0.87004337749999994</v>
      </c>
      <c r="Q76">
        <v>5.0000000000000001E-4</v>
      </c>
      <c r="R76">
        <v>0.1063514725116</v>
      </c>
      <c r="S76">
        <v>5.0000000000000001E-4</v>
      </c>
      <c r="T76">
        <v>0.21905762770000003</v>
      </c>
      <c r="U76">
        <v>5.0000000000000001E-4</v>
      </c>
      <c r="V76">
        <v>0.14551114415799998</v>
      </c>
      <c r="W76">
        <v>5.0000000000000001E-4</v>
      </c>
      <c r="X76">
        <v>0.13210196217</v>
      </c>
      <c r="Y76">
        <v>5.0000000000000001E-4</v>
      </c>
      <c r="Z76">
        <v>0.17531653747999998</v>
      </c>
      <c r="AA76">
        <v>5.0000000000000001E-4</v>
      </c>
      <c r="AB76">
        <v>0.13562566135000001</v>
      </c>
      <c r="AC76">
        <v>5.0000000000000001E-4</v>
      </c>
      <c r="AD76">
        <v>0.11569241389900001</v>
      </c>
    </row>
    <row r="77" spans="1:30" x14ac:dyDescent="0.2">
      <c r="B77" t="s">
        <v>64</v>
      </c>
      <c r="C77">
        <v>1.5E-3</v>
      </c>
      <c r="D77">
        <v>1.6036526420000006E-2</v>
      </c>
      <c r="E77">
        <v>1.5E-3</v>
      </c>
      <c r="F77">
        <v>1.0281453409999999E-2</v>
      </c>
      <c r="G77">
        <v>1.5E-3</v>
      </c>
      <c r="H77">
        <v>2.449762523E-2</v>
      </c>
      <c r="I77">
        <v>1.5E-3</v>
      </c>
      <c r="J77">
        <v>1.0705317299999996E-2</v>
      </c>
      <c r="K77">
        <v>1.5E-3</v>
      </c>
      <c r="L77">
        <v>8.2997548670000004E-2</v>
      </c>
      <c r="M77">
        <v>1.5E-3</v>
      </c>
      <c r="N77">
        <v>0.16265672998999997</v>
      </c>
      <c r="O77">
        <v>1.5E-3</v>
      </c>
      <c r="P77">
        <v>7.4579085499999989E-2</v>
      </c>
      <c r="Q77">
        <v>3.0000000000000001E-3</v>
      </c>
      <c r="R77">
        <v>0.20578361651160004</v>
      </c>
      <c r="S77">
        <v>3.0000000000000001E-3</v>
      </c>
      <c r="T77">
        <v>0.16920466770000001</v>
      </c>
      <c r="U77">
        <v>3.0000000000000001E-3</v>
      </c>
      <c r="V77">
        <v>0.14253956415799998</v>
      </c>
      <c r="W77">
        <v>3.0000000000000001E-3</v>
      </c>
      <c r="X77">
        <v>5.0186670170000003E-2</v>
      </c>
      <c r="Y77">
        <v>3.0000000000000001E-3</v>
      </c>
      <c r="Z77">
        <v>4.6588845479999988E-2</v>
      </c>
      <c r="AA77">
        <v>3.0000000000000001E-3</v>
      </c>
      <c r="AB77">
        <v>0.16208114134999996</v>
      </c>
      <c r="AC77">
        <v>3.0000000000000001E-3</v>
      </c>
      <c r="AD77">
        <v>3.0513641898999997E-2</v>
      </c>
    </row>
    <row r="78" spans="1:30" x14ac:dyDescent="0.2">
      <c r="A78" t="s">
        <v>150</v>
      </c>
      <c r="C78">
        <v>0.125</v>
      </c>
      <c r="D78">
        <v>3</v>
      </c>
      <c r="E78">
        <v>3</v>
      </c>
      <c r="F78">
        <v>6</v>
      </c>
      <c r="G78">
        <v>6</v>
      </c>
      <c r="H78">
        <v>9</v>
      </c>
      <c r="I78">
        <v>9</v>
      </c>
      <c r="J78">
        <v>12</v>
      </c>
      <c r="K78">
        <v>12</v>
      </c>
      <c r="L78">
        <v>15</v>
      </c>
      <c r="M78">
        <v>15</v>
      </c>
      <c r="N78">
        <v>18</v>
      </c>
      <c r="O78">
        <v>18</v>
      </c>
      <c r="P78">
        <v>21</v>
      </c>
      <c r="Q78">
        <v>21</v>
      </c>
      <c r="R78">
        <v>24</v>
      </c>
      <c r="S78">
        <v>24</v>
      </c>
      <c r="T78">
        <v>27</v>
      </c>
      <c r="U78">
        <v>27</v>
      </c>
      <c r="V78">
        <v>30</v>
      </c>
      <c r="W78">
        <v>30</v>
      </c>
      <c r="X78">
        <v>33</v>
      </c>
      <c r="Y78">
        <v>33</v>
      </c>
      <c r="Z78">
        <v>36</v>
      </c>
      <c r="AA78">
        <v>36</v>
      </c>
      <c r="AB78">
        <v>39</v>
      </c>
      <c r="AC78">
        <v>39</v>
      </c>
      <c r="AD78">
        <v>42</v>
      </c>
    </row>
    <row r="79" spans="1:30" x14ac:dyDescent="0.2">
      <c r="B79" t="s">
        <v>65</v>
      </c>
      <c r="C79">
        <v>1.5E-3</v>
      </c>
      <c r="D79">
        <v>0.14276952842000001</v>
      </c>
      <c r="E79">
        <v>1.5E-3</v>
      </c>
      <c r="F79">
        <v>0.26836685260999998</v>
      </c>
      <c r="G79">
        <v>1.5E-3</v>
      </c>
      <c r="H79">
        <v>0.27078042923000001</v>
      </c>
      <c r="I79">
        <v>1.5E-3</v>
      </c>
      <c r="J79">
        <v>0.20029634289999998</v>
      </c>
      <c r="K79">
        <v>1.5E-3</v>
      </c>
      <c r="L79">
        <v>0.35772584867000001</v>
      </c>
      <c r="M79">
        <v>1.5E-3</v>
      </c>
      <c r="N79">
        <v>0.42644260599</v>
      </c>
      <c r="O79">
        <v>1.5E-3</v>
      </c>
      <c r="P79">
        <v>0.30385824149999996</v>
      </c>
      <c r="Q79">
        <v>5.0000000000000001E-4</v>
      </c>
      <c r="R79">
        <v>0.16730033971160002</v>
      </c>
      <c r="S79">
        <v>5.0000000000000001E-4</v>
      </c>
      <c r="T79">
        <v>0.17430461730000002</v>
      </c>
      <c r="U79">
        <v>5.0000000000000001E-4</v>
      </c>
      <c r="V79">
        <v>0.15188561295800002</v>
      </c>
      <c r="W79">
        <v>5.0000000000000001E-4</v>
      </c>
      <c r="X79">
        <v>0.13793944457000001</v>
      </c>
      <c r="Y79">
        <v>5.0000000000000001E-4</v>
      </c>
      <c r="Z79">
        <v>0.15852229028000001</v>
      </c>
      <c r="AA79">
        <v>5.0000000000000001E-4</v>
      </c>
      <c r="AB79">
        <v>0.13225711735000001</v>
      </c>
      <c r="AC79">
        <v>5.0000000000000001E-4</v>
      </c>
      <c r="AD79">
        <v>0.13626516589900001</v>
      </c>
    </row>
    <row r="80" spans="1:30" x14ac:dyDescent="0.2">
      <c r="B80" t="s">
        <v>43</v>
      </c>
      <c r="C80">
        <v>1.5E-3</v>
      </c>
      <c r="D80">
        <v>1.1829506020000002E-2</v>
      </c>
      <c r="E80">
        <v>1.5E-3</v>
      </c>
      <c r="F80">
        <v>6.0283255700000005E-3</v>
      </c>
      <c r="G80">
        <v>1.3749999999999999E-3</v>
      </c>
      <c r="H80">
        <v>5.85963635E-3</v>
      </c>
      <c r="I80">
        <v>1.4132712270029997E-3</v>
      </c>
      <c r="J80">
        <v>5.5831253799999998E-3</v>
      </c>
      <c r="K80">
        <v>1.4741835850000001E-3</v>
      </c>
      <c r="L80">
        <v>9.0424759069999999E-2</v>
      </c>
      <c r="M80">
        <v>1.5E-3</v>
      </c>
      <c r="N80">
        <v>6.168249479E-2</v>
      </c>
      <c r="O80">
        <v>1.5E-3</v>
      </c>
      <c r="P80">
        <v>3.2881494060000002E-2</v>
      </c>
      <c r="Q80">
        <v>3.0000000000000001E-3</v>
      </c>
      <c r="R80">
        <v>0.1947703261116</v>
      </c>
      <c r="S80">
        <v>3.0000000000000001E-3</v>
      </c>
      <c r="T80">
        <v>0.12249858529999999</v>
      </c>
      <c r="U80">
        <v>3.0000000000000001E-3</v>
      </c>
      <c r="V80">
        <v>5.2448585437999996E-2</v>
      </c>
      <c r="W80">
        <v>3.0000000000000001E-3</v>
      </c>
      <c r="X80">
        <v>6.001455017E-2</v>
      </c>
      <c r="Y80">
        <v>3.0000000000000001E-3</v>
      </c>
      <c r="Z80">
        <v>1.1103117495384614E-2</v>
      </c>
      <c r="AA80">
        <v>2.1999999999999997E-3</v>
      </c>
      <c r="AB80">
        <v>0.15162854295</v>
      </c>
      <c r="AC80">
        <v>3.0000000000000001E-3</v>
      </c>
      <c r="AD80">
        <v>3.1163503499E-2</v>
      </c>
    </row>
    <row r="81" spans="1:30" x14ac:dyDescent="0.2">
      <c r="B81" t="s">
        <v>6</v>
      </c>
      <c r="C81">
        <v>1.5E-3</v>
      </c>
      <c r="D81">
        <v>9.8520649220000006E-2</v>
      </c>
      <c r="E81">
        <v>1.5E-3</v>
      </c>
      <c r="F81">
        <v>0.13790834861000001</v>
      </c>
      <c r="G81">
        <v>1.5E-3</v>
      </c>
      <c r="H81">
        <v>0.38790168923000007</v>
      </c>
      <c r="I81">
        <v>1.5E-3</v>
      </c>
      <c r="J81">
        <v>0.21177747889999995</v>
      </c>
      <c r="K81">
        <v>1.5E-3</v>
      </c>
      <c r="L81">
        <v>0.22658836866999998</v>
      </c>
      <c r="M81">
        <v>1.5E-3</v>
      </c>
      <c r="N81">
        <v>0.40242890999000008</v>
      </c>
      <c r="O81">
        <v>1.5E-3</v>
      </c>
      <c r="P81">
        <v>0.87004337749999994</v>
      </c>
      <c r="Q81">
        <v>5.0000000000000001E-4</v>
      </c>
      <c r="R81">
        <v>0.1063514725116</v>
      </c>
      <c r="S81">
        <v>5.0000000000000001E-4</v>
      </c>
      <c r="T81">
        <v>0.21905762770000003</v>
      </c>
      <c r="U81">
        <v>5.0000000000000001E-4</v>
      </c>
      <c r="V81">
        <v>0.14551114415799998</v>
      </c>
      <c r="W81">
        <v>5.0000000000000001E-4</v>
      </c>
      <c r="X81">
        <v>0.13210196217</v>
      </c>
      <c r="Y81">
        <v>5.0000000000000001E-4</v>
      </c>
      <c r="Z81">
        <v>0.17531653747999998</v>
      </c>
      <c r="AA81">
        <v>5.0000000000000001E-4</v>
      </c>
      <c r="AB81">
        <v>0.13562566135000001</v>
      </c>
      <c r="AC81">
        <v>5.0000000000000001E-4</v>
      </c>
      <c r="AD81">
        <v>0.11569241389900001</v>
      </c>
    </row>
    <row r="82" spans="1:30" x14ac:dyDescent="0.2">
      <c r="B82" t="s">
        <v>66</v>
      </c>
      <c r="C82">
        <v>1.5E-3</v>
      </c>
      <c r="D82">
        <v>1.6036526420000006E-2</v>
      </c>
      <c r="E82">
        <v>1.5E-3</v>
      </c>
      <c r="F82">
        <v>1.0281453409999999E-2</v>
      </c>
      <c r="G82">
        <v>1.5E-3</v>
      </c>
      <c r="H82">
        <v>2.449762523E-2</v>
      </c>
      <c r="I82">
        <v>1.5E-3</v>
      </c>
      <c r="J82">
        <v>1.0705317299999996E-2</v>
      </c>
      <c r="K82">
        <v>1.5E-3</v>
      </c>
      <c r="L82">
        <v>8.2997548670000004E-2</v>
      </c>
      <c r="M82">
        <v>1.5E-3</v>
      </c>
      <c r="N82">
        <v>0.16265672998999997</v>
      </c>
      <c r="O82">
        <v>1.5E-3</v>
      </c>
      <c r="P82">
        <v>7.4579085499999989E-2</v>
      </c>
      <c r="Q82">
        <v>3.0000000000000001E-3</v>
      </c>
      <c r="R82">
        <v>0.20578361651160004</v>
      </c>
      <c r="S82">
        <v>3.0000000000000001E-3</v>
      </c>
      <c r="T82">
        <v>0.16920466770000001</v>
      </c>
      <c r="U82">
        <v>3.0000000000000001E-3</v>
      </c>
      <c r="V82">
        <v>0.14253956415799998</v>
      </c>
      <c r="W82">
        <v>3.0000000000000001E-3</v>
      </c>
      <c r="X82">
        <v>5.0186670170000003E-2</v>
      </c>
      <c r="Y82">
        <v>3.0000000000000001E-3</v>
      </c>
      <c r="Z82">
        <v>4.6588845479999988E-2</v>
      </c>
      <c r="AA82">
        <v>3.0000000000000001E-3</v>
      </c>
      <c r="AB82">
        <v>0.16208114134999996</v>
      </c>
      <c r="AC82">
        <v>3.0000000000000001E-3</v>
      </c>
      <c r="AD82">
        <v>3.0513641898999997E-2</v>
      </c>
    </row>
    <row r="84" spans="1:30" x14ac:dyDescent="0.2">
      <c r="A84" t="s">
        <v>38</v>
      </c>
      <c r="B84" t="s">
        <v>65</v>
      </c>
      <c r="C84">
        <v>0</v>
      </c>
      <c r="D84">
        <v>2.4948908983133018E-2</v>
      </c>
      <c r="E84">
        <v>0</v>
      </c>
      <c r="F84">
        <v>3.194124932059611E-2</v>
      </c>
      <c r="G84">
        <v>0</v>
      </c>
      <c r="H84">
        <v>5.9324983792043678E-2</v>
      </c>
      <c r="I84">
        <v>0</v>
      </c>
      <c r="J84">
        <v>2.808872925632059E-2</v>
      </c>
      <c r="K84">
        <v>0</v>
      </c>
      <c r="L84">
        <v>4.9858428815035466E-2</v>
      </c>
      <c r="M84">
        <v>0</v>
      </c>
      <c r="N84">
        <v>6.0737449934844236E-2</v>
      </c>
      <c r="O84">
        <v>0</v>
      </c>
      <c r="P84">
        <v>6.3757551919562644E-2</v>
      </c>
      <c r="Q84">
        <v>0</v>
      </c>
      <c r="R84">
        <v>4.4906642099990311E-2</v>
      </c>
      <c r="S84">
        <v>0</v>
      </c>
      <c r="T84">
        <v>2.368430438874226E-2</v>
      </c>
      <c r="U84">
        <v>0</v>
      </c>
      <c r="V84">
        <v>2.781185645679235E-2</v>
      </c>
      <c r="W84">
        <v>0</v>
      </c>
      <c r="X84">
        <v>2.328729251502951E-2</v>
      </c>
      <c r="Y84">
        <v>0</v>
      </c>
      <c r="Z84">
        <v>5.3346754808798885E-2</v>
      </c>
      <c r="AA84">
        <v>0</v>
      </c>
      <c r="AB84">
        <v>1.8638864980202254E-2</v>
      </c>
      <c r="AC84">
        <v>0</v>
      </c>
      <c r="AD84">
        <v>8.453056822566387E-3</v>
      </c>
    </row>
    <row r="85" spans="1:30" x14ac:dyDescent="0.2">
      <c r="B85" t="s">
        <v>43</v>
      </c>
      <c r="C85">
        <v>0</v>
      </c>
      <c r="D85">
        <v>3.1886948038948077E-3</v>
      </c>
      <c r="E85">
        <v>0</v>
      </c>
      <c r="F85">
        <v>1.0172154543595026E-3</v>
      </c>
      <c r="G85">
        <v>9.2330926563096937E-5</v>
      </c>
      <c r="H85">
        <v>4.7752287009149826E-3</v>
      </c>
      <c r="I85">
        <v>1.20972435462844E-4</v>
      </c>
      <c r="J85">
        <v>3.7836636405760454E-3</v>
      </c>
      <c r="K85">
        <v>5.7727258875345088E-5</v>
      </c>
      <c r="L85">
        <v>5.3163028106613316E-2</v>
      </c>
      <c r="M85">
        <v>0</v>
      </c>
      <c r="N85">
        <v>2.8482992524400896E-2</v>
      </c>
      <c r="O85">
        <v>0</v>
      </c>
      <c r="P85">
        <v>2.1958384379793947E-2</v>
      </c>
      <c r="Q85">
        <v>0</v>
      </c>
      <c r="R85">
        <v>8.9253849275145763E-2</v>
      </c>
      <c r="S85">
        <v>0</v>
      </c>
      <c r="T85">
        <v>5.4644487819883333E-2</v>
      </c>
      <c r="U85">
        <v>0</v>
      </c>
      <c r="V85">
        <v>2.9911848675432194E-2</v>
      </c>
      <c r="W85">
        <v>0</v>
      </c>
      <c r="X85">
        <v>2.8261115643723064E-2</v>
      </c>
      <c r="Y85">
        <v>0</v>
      </c>
      <c r="Z85">
        <v>9.5362481498984086E-3</v>
      </c>
      <c r="AA85">
        <v>1.0954451150103322E-3</v>
      </c>
      <c r="AB85">
        <v>0.10764666311224319</v>
      </c>
      <c r="AC85">
        <v>0</v>
      </c>
      <c r="AD85">
        <v>1.1098661825961019E-2</v>
      </c>
    </row>
    <row r="87" spans="1:30" x14ac:dyDescent="0.2">
      <c r="A87" t="s">
        <v>84</v>
      </c>
      <c r="C87">
        <v>0</v>
      </c>
      <c r="D87">
        <v>1</v>
      </c>
      <c r="E87">
        <v>2</v>
      </c>
      <c r="F87">
        <v>3</v>
      </c>
      <c r="G87">
        <v>6</v>
      </c>
      <c r="H87">
        <v>9</v>
      </c>
      <c r="I87">
        <v>12</v>
      </c>
      <c r="J87">
        <v>15</v>
      </c>
      <c r="K87">
        <v>16</v>
      </c>
      <c r="L87">
        <v>17</v>
      </c>
      <c r="M87">
        <v>18</v>
      </c>
      <c r="N87">
        <v>21</v>
      </c>
      <c r="O87">
        <v>24</v>
      </c>
      <c r="P87">
        <v>27</v>
      </c>
      <c r="Q87">
        <v>30</v>
      </c>
      <c r="R87">
        <v>31</v>
      </c>
      <c r="S87">
        <v>32</v>
      </c>
      <c r="T87">
        <v>33</v>
      </c>
      <c r="U87">
        <v>36</v>
      </c>
      <c r="V87">
        <v>39</v>
      </c>
      <c r="W87">
        <v>42</v>
      </c>
    </row>
    <row r="88" spans="1:30" x14ac:dyDescent="0.2">
      <c r="B88" t="s">
        <v>160</v>
      </c>
      <c r="C88">
        <v>0.64818181818181841</v>
      </c>
      <c r="D88">
        <v>0.64</v>
      </c>
      <c r="E88">
        <v>0.63</v>
      </c>
      <c r="F88">
        <v>0.64</v>
      </c>
      <c r="G88">
        <v>0.64</v>
      </c>
      <c r="H88">
        <v>0.65</v>
      </c>
      <c r="I88">
        <v>0.64</v>
      </c>
      <c r="J88">
        <v>0.63</v>
      </c>
      <c r="K88">
        <v>0.63</v>
      </c>
      <c r="L88">
        <v>0.64</v>
      </c>
      <c r="M88">
        <v>0.64</v>
      </c>
      <c r="N88">
        <v>0.64</v>
      </c>
      <c r="O88">
        <v>0.63</v>
      </c>
      <c r="P88">
        <v>0.65</v>
      </c>
      <c r="Q88">
        <v>0.64</v>
      </c>
      <c r="R88">
        <v>0.56000000000000005</v>
      </c>
      <c r="S88">
        <v>0.63</v>
      </c>
      <c r="T88">
        <v>0.64</v>
      </c>
      <c r="U88">
        <v>0.65</v>
      </c>
      <c r="V88">
        <v>0.64</v>
      </c>
      <c r="W88">
        <v>0.64</v>
      </c>
    </row>
    <row r="89" spans="1:30" x14ac:dyDescent="0.2">
      <c r="B89" t="s">
        <v>161</v>
      </c>
      <c r="C89">
        <v>0.64818181818181841</v>
      </c>
      <c r="D89">
        <v>0.64</v>
      </c>
      <c r="E89">
        <v>0.64</v>
      </c>
      <c r="F89">
        <v>0.65</v>
      </c>
      <c r="G89">
        <v>0.65</v>
      </c>
      <c r="H89">
        <v>0.65</v>
      </c>
      <c r="I89">
        <v>0.63</v>
      </c>
      <c r="J89">
        <v>0.65</v>
      </c>
      <c r="K89">
        <v>0.65</v>
      </c>
      <c r="L89">
        <v>0.61</v>
      </c>
      <c r="M89">
        <v>0.64</v>
      </c>
      <c r="N89">
        <v>0.61</v>
      </c>
      <c r="O89">
        <v>0.64</v>
      </c>
      <c r="P89">
        <v>0.65</v>
      </c>
      <c r="Q89">
        <v>0.65</v>
      </c>
      <c r="R89">
        <v>0.63</v>
      </c>
      <c r="S89">
        <v>0.66</v>
      </c>
      <c r="T89">
        <v>0.65</v>
      </c>
      <c r="U89">
        <v>0.65</v>
      </c>
      <c r="V89">
        <v>0.63</v>
      </c>
      <c r="W89">
        <v>0.64</v>
      </c>
    </row>
    <row r="90" spans="1:30" x14ac:dyDescent="0.2">
      <c r="B90" t="s">
        <v>162</v>
      </c>
      <c r="C90">
        <v>0.64818181818181841</v>
      </c>
      <c r="D90">
        <v>0.68</v>
      </c>
      <c r="E90">
        <v>0.62</v>
      </c>
      <c r="F90">
        <v>0.66</v>
      </c>
      <c r="G90">
        <v>0.65</v>
      </c>
      <c r="H90">
        <v>0.65</v>
      </c>
      <c r="I90">
        <v>0.64</v>
      </c>
      <c r="J90">
        <v>0.63</v>
      </c>
      <c r="K90">
        <v>0</v>
      </c>
      <c r="L90">
        <v>0.64</v>
      </c>
      <c r="M90">
        <v>0.65</v>
      </c>
      <c r="N90">
        <v>0.61</v>
      </c>
      <c r="O90">
        <v>0.63</v>
      </c>
      <c r="P90">
        <v>0.66</v>
      </c>
      <c r="Q90">
        <v>0.66</v>
      </c>
      <c r="R90">
        <v>0.62</v>
      </c>
      <c r="S90">
        <v>0.65</v>
      </c>
      <c r="T90">
        <v>0.65</v>
      </c>
      <c r="U90">
        <v>0.66</v>
      </c>
      <c r="V90">
        <v>0.65</v>
      </c>
      <c r="W90">
        <v>0.65</v>
      </c>
    </row>
    <row r="91" spans="1:30" x14ac:dyDescent="0.2">
      <c r="B91" t="s">
        <v>163</v>
      </c>
      <c r="C91">
        <v>0.64818181818181841</v>
      </c>
      <c r="D91">
        <v>0.66</v>
      </c>
      <c r="E91">
        <v>0.63</v>
      </c>
      <c r="F91">
        <v>0.65</v>
      </c>
      <c r="G91">
        <v>0.65</v>
      </c>
      <c r="H91">
        <v>0.66</v>
      </c>
      <c r="I91">
        <v>0.63</v>
      </c>
      <c r="J91">
        <v>0.64</v>
      </c>
      <c r="K91">
        <v>0</v>
      </c>
      <c r="L91">
        <v>0.63</v>
      </c>
      <c r="M91">
        <v>0.64</v>
      </c>
      <c r="N91">
        <v>0.64</v>
      </c>
      <c r="O91">
        <v>0.63</v>
      </c>
      <c r="P91">
        <v>0.65</v>
      </c>
      <c r="Q91">
        <v>0.66</v>
      </c>
      <c r="R91">
        <v>0.65</v>
      </c>
      <c r="S91">
        <v>0.64</v>
      </c>
      <c r="T91">
        <v>0.65</v>
      </c>
      <c r="U91">
        <v>0.65</v>
      </c>
      <c r="V91">
        <v>0.65</v>
      </c>
      <c r="W91">
        <v>0.65</v>
      </c>
    </row>
    <row r="92" spans="1:30" x14ac:dyDescent="0.2">
      <c r="B92" t="s">
        <v>164</v>
      </c>
      <c r="C92">
        <v>0.64818181818181841</v>
      </c>
      <c r="D92">
        <v>0.69</v>
      </c>
      <c r="E92">
        <v>0.65</v>
      </c>
      <c r="F92">
        <v>0.66</v>
      </c>
      <c r="G92">
        <v>0.65</v>
      </c>
      <c r="H92">
        <v>0.66</v>
      </c>
      <c r="I92">
        <v>0.64</v>
      </c>
      <c r="J92">
        <v>0.64</v>
      </c>
      <c r="K92">
        <v>0.66</v>
      </c>
      <c r="L92">
        <v>0.64</v>
      </c>
      <c r="M92">
        <v>0.65</v>
      </c>
      <c r="N92">
        <v>0.64</v>
      </c>
      <c r="O92">
        <v>0.64</v>
      </c>
      <c r="P92">
        <v>0.66</v>
      </c>
      <c r="Q92">
        <v>0.66</v>
      </c>
      <c r="R92">
        <v>0.66</v>
      </c>
      <c r="S92">
        <v>0.66</v>
      </c>
      <c r="T92">
        <v>0.65</v>
      </c>
      <c r="U92">
        <v>0.66</v>
      </c>
      <c r="V92">
        <v>0.66</v>
      </c>
      <c r="W92">
        <v>0.65</v>
      </c>
    </row>
    <row r="93" spans="1:30" x14ac:dyDescent="0.2">
      <c r="B93" t="s">
        <v>165</v>
      </c>
      <c r="C93">
        <v>0.64818181818181841</v>
      </c>
      <c r="D93">
        <v>0</v>
      </c>
      <c r="E93">
        <v>0.57999999999999996</v>
      </c>
      <c r="F93">
        <v>0.64</v>
      </c>
      <c r="G93">
        <v>0.63</v>
      </c>
      <c r="H93">
        <v>0.67</v>
      </c>
      <c r="I93">
        <v>0.57999999999999996</v>
      </c>
      <c r="J93">
        <v>0.61</v>
      </c>
      <c r="K93">
        <v>0</v>
      </c>
      <c r="L93">
        <v>0</v>
      </c>
      <c r="M93">
        <v>0.59</v>
      </c>
      <c r="N93">
        <v>0.63</v>
      </c>
      <c r="O93">
        <v>0.61</v>
      </c>
      <c r="P93">
        <v>0.63</v>
      </c>
      <c r="Q93">
        <v>0.65</v>
      </c>
      <c r="R93">
        <v>0.56999999999999995</v>
      </c>
      <c r="S93">
        <v>0.62</v>
      </c>
      <c r="T93">
        <v>0.63</v>
      </c>
      <c r="U93">
        <v>0.64</v>
      </c>
      <c r="V93">
        <v>0.63</v>
      </c>
      <c r="W93">
        <v>0.63</v>
      </c>
    </row>
    <row r="94" spans="1:30" x14ac:dyDescent="0.2">
      <c r="B94" t="s">
        <v>166</v>
      </c>
      <c r="C94">
        <v>0.64818181818181841</v>
      </c>
      <c r="D94">
        <v>0</v>
      </c>
      <c r="E94">
        <v>0.59</v>
      </c>
      <c r="F94">
        <v>0.64</v>
      </c>
      <c r="G94">
        <v>0.67</v>
      </c>
      <c r="H94">
        <v>0.67</v>
      </c>
      <c r="I94">
        <v>0.6</v>
      </c>
      <c r="J94">
        <v>0.61</v>
      </c>
      <c r="K94">
        <v>0</v>
      </c>
      <c r="L94">
        <v>0</v>
      </c>
      <c r="M94">
        <v>0</v>
      </c>
      <c r="N94">
        <v>0.65</v>
      </c>
      <c r="O94">
        <v>0.62</v>
      </c>
      <c r="P94">
        <v>0.64</v>
      </c>
      <c r="Q94">
        <v>0.64</v>
      </c>
      <c r="R94">
        <v>0.59</v>
      </c>
      <c r="S94">
        <v>0.64</v>
      </c>
      <c r="T94">
        <v>0.65</v>
      </c>
      <c r="U94">
        <v>0.66</v>
      </c>
      <c r="V94">
        <v>0.65</v>
      </c>
      <c r="W94">
        <v>0.65</v>
      </c>
    </row>
    <row r="95" spans="1:30" x14ac:dyDescent="0.2">
      <c r="B95" t="s">
        <v>167</v>
      </c>
      <c r="C95">
        <v>0.64818181818181841</v>
      </c>
      <c r="D95">
        <v>0</v>
      </c>
      <c r="E95">
        <v>0.61</v>
      </c>
      <c r="F95">
        <v>0.61</v>
      </c>
      <c r="G95">
        <v>0.64</v>
      </c>
      <c r="H95">
        <v>0.68</v>
      </c>
      <c r="I95">
        <v>0.62</v>
      </c>
      <c r="J95">
        <v>0.6</v>
      </c>
      <c r="K95">
        <v>0</v>
      </c>
      <c r="L95">
        <v>0</v>
      </c>
      <c r="M95">
        <v>0.63</v>
      </c>
      <c r="N95">
        <v>0.63</v>
      </c>
      <c r="O95">
        <v>0.63</v>
      </c>
      <c r="P95">
        <v>0.64</v>
      </c>
      <c r="Q95">
        <v>0.64</v>
      </c>
      <c r="R95">
        <v>0.62</v>
      </c>
      <c r="S95">
        <v>0.63</v>
      </c>
      <c r="T95">
        <v>0.64</v>
      </c>
      <c r="U95">
        <v>0.65</v>
      </c>
      <c r="V95">
        <v>0.63</v>
      </c>
      <c r="W95">
        <v>0.62</v>
      </c>
    </row>
    <row r="96" spans="1:30" x14ac:dyDescent="0.2">
      <c r="B96" t="s">
        <v>168</v>
      </c>
      <c r="C96">
        <v>0.64818181818181841</v>
      </c>
      <c r="D96">
        <v>0</v>
      </c>
      <c r="E96">
        <v>0.6</v>
      </c>
      <c r="F96">
        <v>0.64</v>
      </c>
      <c r="G96">
        <v>0.64</v>
      </c>
      <c r="H96">
        <v>0</v>
      </c>
      <c r="I96">
        <v>0.6</v>
      </c>
      <c r="J96">
        <v>0.63</v>
      </c>
      <c r="K96">
        <v>0</v>
      </c>
      <c r="L96">
        <v>0</v>
      </c>
      <c r="M96">
        <v>0.62</v>
      </c>
      <c r="N96">
        <v>0.65</v>
      </c>
      <c r="O96">
        <v>0.63</v>
      </c>
      <c r="P96">
        <v>0.67</v>
      </c>
      <c r="Q96">
        <v>0.67</v>
      </c>
      <c r="R96">
        <v>0.57999999999999996</v>
      </c>
      <c r="S96">
        <v>0.65</v>
      </c>
      <c r="T96">
        <v>0.66</v>
      </c>
      <c r="U96">
        <v>0.67</v>
      </c>
      <c r="V96">
        <v>0.66</v>
      </c>
      <c r="W96">
        <v>0.65</v>
      </c>
    </row>
    <row r="97" spans="1:23" x14ac:dyDescent="0.2">
      <c r="B97" t="s">
        <v>169</v>
      </c>
      <c r="C97">
        <v>0.64818181818181841</v>
      </c>
      <c r="D97">
        <v>0</v>
      </c>
      <c r="E97">
        <v>0.6</v>
      </c>
      <c r="F97">
        <v>0.63</v>
      </c>
      <c r="G97">
        <v>0.62</v>
      </c>
      <c r="H97">
        <v>0</v>
      </c>
      <c r="I97">
        <v>0.6</v>
      </c>
      <c r="J97">
        <v>0.56999999999999995</v>
      </c>
      <c r="K97">
        <v>0</v>
      </c>
      <c r="L97">
        <v>0</v>
      </c>
      <c r="M97">
        <v>0</v>
      </c>
      <c r="N97">
        <v>0.63</v>
      </c>
      <c r="O97">
        <v>0.64</v>
      </c>
      <c r="P97">
        <v>0.64</v>
      </c>
      <c r="Q97">
        <v>0.66</v>
      </c>
      <c r="R97">
        <v>0.61</v>
      </c>
      <c r="S97">
        <v>0.64</v>
      </c>
      <c r="T97">
        <v>0.64</v>
      </c>
      <c r="U97">
        <v>0.67</v>
      </c>
      <c r="V97">
        <v>0.64</v>
      </c>
      <c r="W97">
        <v>0.64</v>
      </c>
    </row>
    <row r="98" spans="1:23" x14ac:dyDescent="0.2">
      <c r="B98" t="s">
        <v>170</v>
      </c>
      <c r="C98">
        <v>0.62</v>
      </c>
      <c r="D98">
        <v>0.63</v>
      </c>
      <c r="E98">
        <v>0.63</v>
      </c>
      <c r="F98">
        <v>0.66</v>
      </c>
      <c r="G98">
        <v>0.67</v>
      </c>
      <c r="H98">
        <v>0.66</v>
      </c>
      <c r="I98">
        <v>0.62</v>
      </c>
      <c r="J98">
        <v>0.63</v>
      </c>
      <c r="K98">
        <v>0</v>
      </c>
      <c r="L98">
        <v>0.64</v>
      </c>
      <c r="M98">
        <v>0.65</v>
      </c>
      <c r="N98">
        <v>0.61</v>
      </c>
      <c r="O98">
        <v>0.64</v>
      </c>
      <c r="P98">
        <v>0.66</v>
      </c>
      <c r="Q98">
        <v>0.65</v>
      </c>
      <c r="R98">
        <v>0</v>
      </c>
      <c r="S98">
        <v>0.66</v>
      </c>
      <c r="T98">
        <v>0.66</v>
      </c>
      <c r="U98">
        <v>0.67</v>
      </c>
      <c r="V98">
        <v>0.65</v>
      </c>
      <c r="W98">
        <v>0.66</v>
      </c>
    </row>
    <row r="99" spans="1:23" x14ac:dyDescent="0.2">
      <c r="B99" t="s">
        <v>171</v>
      </c>
      <c r="C99">
        <v>0.62</v>
      </c>
      <c r="D99">
        <v>0</v>
      </c>
      <c r="E99">
        <v>0.6</v>
      </c>
      <c r="F99">
        <v>0.65</v>
      </c>
      <c r="G99">
        <v>0.68</v>
      </c>
      <c r="H99">
        <v>0</v>
      </c>
      <c r="J99">
        <v>0.64</v>
      </c>
      <c r="K99">
        <v>0</v>
      </c>
      <c r="L99">
        <v>0</v>
      </c>
      <c r="M99">
        <v>0</v>
      </c>
      <c r="N99">
        <v>0</v>
      </c>
      <c r="O99">
        <v>0</v>
      </c>
      <c r="P99">
        <v>0.64</v>
      </c>
      <c r="Q99">
        <v>0.64</v>
      </c>
      <c r="R99">
        <v>0.62</v>
      </c>
      <c r="S99">
        <v>0.64</v>
      </c>
      <c r="T99">
        <v>0.66</v>
      </c>
      <c r="U99">
        <v>0.66</v>
      </c>
      <c r="V99">
        <v>0.66</v>
      </c>
      <c r="W99">
        <v>0.66</v>
      </c>
    </row>
    <row r="101" spans="1:23" x14ac:dyDescent="0.2">
      <c r="A101" t="s">
        <v>85</v>
      </c>
    </row>
    <row r="102" spans="1:23" x14ac:dyDescent="0.2">
      <c r="B102" t="s">
        <v>160</v>
      </c>
      <c r="C102">
        <v>7.7169696969696986</v>
      </c>
      <c r="D102" s="16">
        <v>7.93</v>
      </c>
      <c r="E102" s="16">
        <v>7.82</v>
      </c>
      <c r="F102" s="16">
        <v>8.06</v>
      </c>
      <c r="G102" s="16">
        <v>7.67</v>
      </c>
      <c r="H102" s="16">
        <v>8.02</v>
      </c>
      <c r="I102" s="16">
        <v>8</v>
      </c>
      <c r="J102" s="16">
        <v>8.1</v>
      </c>
      <c r="K102" s="16">
        <v>8.01</v>
      </c>
      <c r="L102" s="16">
        <v>8.02</v>
      </c>
      <c r="M102">
        <v>7.88</v>
      </c>
      <c r="N102">
        <v>8.06</v>
      </c>
      <c r="O102">
        <v>7.97</v>
      </c>
      <c r="P102">
        <v>7.93</v>
      </c>
      <c r="Q102">
        <v>8.02</v>
      </c>
      <c r="R102">
        <v>7.81</v>
      </c>
      <c r="S102">
        <v>7.98</v>
      </c>
      <c r="T102">
        <v>8.01</v>
      </c>
      <c r="U102">
        <v>8.1999999999999993</v>
      </c>
      <c r="V102">
        <v>7.97</v>
      </c>
      <c r="W102">
        <v>8.0299999999999994</v>
      </c>
    </row>
    <row r="103" spans="1:23" x14ac:dyDescent="0.2">
      <c r="B103" t="s">
        <v>161</v>
      </c>
      <c r="C103">
        <v>7.7169696969696986</v>
      </c>
      <c r="D103" s="16">
        <v>7.95</v>
      </c>
      <c r="E103" s="16">
        <v>7.85</v>
      </c>
      <c r="F103" s="16">
        <v>8.06</v>
      </c>
      <c r="G103" s="16">
        <v>7.81</v>
      </c>
      <c r="H103" s="16">
        <v>8.06</v>
      </c>
      <c r="I103" s="16">
        <v>8.0399999999999991</v>
      </c>
      <c r="J103" s="16">
        <v>8.08</v>
      </c>
      <c r="K103" s="16">
        <v>8</v>
      </c>
      <c r="L103" s="16">
        <v>8.01</v>
      </c>
      <c r="M103">
        <v>7.84</v>
      </c>
      <c r="N103">
        <v>8.06</v>
      </c>
      <c r="O103">
        <v>7.94</v>
      </c>
      <c r="P103">
        <v>7.93</v>
      </c>
      <c r="Q103">
        <v>8.0299999999999994</v>
      </c>
      <c r="R103">
        <v>7.81</v>
      </c>
      <c r="S103">
        <v>7.99</v>
      </c>
      <c r="T103">
        <v>7.99</v>
      </c>
      <c r="U103">
        <v>8.0299999999999994</v>
      </c>
      <c r="V103">
        <v>7.95</v>
      </c>
      <c r="W103">
        <v>8.0299999999999994</v>
      </c>
    </row>
    <row r="104" spans="1:23" x14ac:dyDescent="0.2">
      <c r="B104" t="s">
        <v>162</v>
      </c>
      <c r="C104">
        <v>7.7169696969696986</v>
      </c>
      <c r="D104" s="16">
        <v>7.96</v>
      </c>
      <c r="E104" s="16">
        <v>7.84</v>
      </c>
      <c r="F104" s="16">
        <v>8.26</v>
      </c>
      <c r="G104" s="16">
        <v>7.94</v>
      </c>
      <c r="H104" s="16">
        <v>8.1199999999999992</v>
      </c>
      <c r="I104" s="16">
        <v>8.0299999999999994</v>
      </c>
      <c r="J104" s="16">
        <v>8.08</v>
      </c>
      <c r="K104" s="16">
        <v>7.9</v>
      </c>
      <c r="L104" s="16">
        <v>8.02</v>
      </c>
      <c r="M104">
        <v>7.85</v>
      </c>
      <c r="N104">
        <v>8.0500000000000007</v>
      </c>
      <c r="O104">
        <v>7.93</v>
      </c>
      <c r="P104">
        <v>7.93</v>
      </c>
      <c r="Q104">
        <v>8.07</v>
      </c>
      <c r="R104">
        <v>7.81</v>
      </c>
      <c r="S104">
        <v>8</v>
      </c>
      <c r="T104">
        <v>8.0299999999999994</v>
      </c>
      <c r="U104">
        <v>8.0299999999999994</v>
      </c>
      <c r="V104">
        <v>7.94</v>
      </c>
      <c r="W104">
        <v>8.0500000000000007</v>
      </c>
    </row>
    <row r="105" spans="1:23" x14ac:dyDescent="0.2">
      <c r="B105" t="s">
        <v>163</v>
      </c>
      <c r="C105">
        <v>7.7169696969696986</v>
      </c>
      <c r="D105" s="16">
        <v>7.95</v>
      </c>
      <c r="E105" s="16">
        <v>7.85</v>
      </c>
      <c r="F105" s="16">
        <v>8.24</v>
      </c>
      <c r="G105" s="16">
        <v>7.93</v>
      </c>
      <c r="H105" s="16">
        <v>8.07</v>
      </c>
      <c r="I105" s="16">
        <v>8.08</v>
      </c>
      <c r="J105" s="16">
        <v>8.09</v>
      </c>
      <c r="K105" s="16">
        <v>7.91</v>
      </c>
      <c r="L105" s="16">
        <v>8</v>
      </c>
      <c r="M105">
        <v>7.86</v>
      </c>
      <c r="N105">
        <v>8.0399999999999991</v>
      </c>
      <c r="O105">
        <v>7.99</v>
      </c>
      <c r="P105">
        <v>7.94</v>
      </c>
      <c r="Q105">
        <v>8.0500000000000007</v>
      </c>
      <c r="R105">
        <v>7.81</v>
      </c>
      <c r="S105">
        <v>8.01</v>
      </c>
      <c r="T105">
        <v>8.0399999999999991</v>
      </c>
      <c r="U105">
        <v>8</v>
      </c>
      <c r="V105">
        <v>7.96</v>
      </c>
      <c r="W105">
        <v>8.07</v>
      </c>
    </row>
    <row r="106" spans="1:23" x14ac:dyDescent="0.2">
      <c r="B106" t="s">
        <v>164</v>
      </c>
      <c r="C106">
        <v>7.7169696969696986</v>
      </c>
      <c r="D106" s="16">
        <v>7.95</v>
      </c>
      <c r="E106" s="16">
        <v>7.86</v>
      </c>
      <c r="F106" s="16">
        <v>8.1999999999999993</v>
      </c>
      <c r="G106" s="16">
        <v>7.93</v>
      </c>
      <c r="H106" s="16">
        <v>8.08</v>
      </c>
      <c r="I106" s="16">
        <v>8.08</v>
      </c>
      <c r="J106" s="16">
        <v>8.08</v>
      </c>
      <c r="K106" s="16">
        <v>7.92</v>
      </c>
      <c r="L106" s="16">
        <v>8.02</v>
      </c>
      <c r="M106">
        <v>7.84</v>
      </c>
      <c r="N106">
        <v>8.06</v>
      </c>
      <c r="O106">
        <v>7.98</v>
      </c>
      <c r="P106">
        <v>7.94</v>
      </c>
      <c r="Q106">
        <v>8.0500000000000007</v>
      </c>
      <c r="R106">
        <v>7.8</v>
      </c>
      <c r="S106">
        <v>8.02</v>
      </c>
      <c r="T106">
        <v>8.06</v>
      </c>
      <c r="U106">
        <v>8.0399999999999991</v>
      </c>
      <c r="V106">
        <v>7.98</v>
      </c>
      <c r="W106">
        <v>8.07</v>
      </c>
    </row>
    <row r="107" spans="1:23" x14ac:dyDescent="0.2">
      <c r="B107" t="s">
        <v>165</v>
      </c>
      <c r="C107">
        <v>7.7169696969696986</v>
      </c>
      <c r="D107" s="16">
        <v>7.94</v>
      </c>
      <c r="E107" s="16">
        <v>7.8</v>
      </c>
      <c r="F107" s="16">
        <v>7.98</v>
      </c>
      <c r="G107" s="16">
        <v>7.86</v>
      </c>
      <c r="H107" s="16">
        <v>7.95</v>
      </c>
      <c r="I107" s="16">
        <v>7.95</v>
      </c>
      <c r="J107" s="16">
        <v>8.0399999999999991</v>
      </c>
      <c r="K107" s="16">
        <v>7.91</v>
      </c>
      <c r="L107" s="16">
        <v>7.98</v>
      </c>
      <c r="M107">
        <v>7.85</v>
      </c>
      <c r="N107">
        <v>8.0299999999999994</v>
      </c>
      <c r="O107">
        <v>7.96</v>
      </c>
      <c r="P107">
        <v>7.95</v>
      </c>
      <c r="Q107">
        <v>8.0299999999999994</v>
      </c>
      <c r="R107">
        <v>7.79</v>
      </c>
      <c r="S107">
        <v>7.96</v>
      </c>
      <c r="T107">
        <v>8</v>
      </c>
      <c r="U107">
        <v>8.0299999999999994</v>
      </c>
      <c r="V107">
        <v>7.96</v>
      </c>
      <c r="W107">
        <v>8.0299999999999994</v>
      </c>
    </row>
    <row r="108" spans="1:23" x14ac:dyDescent="0.2">
      <c r="B108" t="s">
        <v>166</v>
      </c>
      <c r="C108">
        <v>7.7169696969696986</v>
      </c>
      <c r="D108" s="16">
        <v>7.95</v>
      </c>
      <c r="E108" s="16">
        <v>7.82</v>
      </c>
      <c r="F108" s="16">
        <v>7.97</v>
      </c>
      <c r="G108" s="16">
        <v>7.86</v>
      </c>
      <c r="H108" s="16">
        <v>7.89</v>
      </c>
      <c r="I108" s="16">
        <v>7.94</v>
      </c>
      <c r="J108" s="16">
        <v>8.0399999999999991</v>
      </c>
      <c r="K108" s="16">
        <v>7.92</v>
      </c>
      <c r="L108" s="16">
        <v>7.95</v>
      </c>
      <c r="M108">
        <v>7.8</v>
      </c>
      <c r="N108">
        <v>8.02</v>
      </c>
      <c r="O108">
        <v>7.93</v>
      </c>
      <c r="P108">
        <v>7.92</v>
      </c>
      <c r="Q108">
        <v>7.98</v>
      </c>
      <c r="R108">
        <v>7.78</v>
      </c>
      <c r="S108">
        <v>7.98</v>
      </c>
      <c r="T108">
        <v>8</v>
      </c>
      <c r="U108">
        <v>8.0299999999999994</v>
      </c>
      <c r="V108">
        <v>8.0299999999999994</v>
      </c>
      <c r="W108">
        <v>8.06</v>
      </c>
    </row>
    <row r="109" spans="1:23" x14ac:dyDescent="0.2">
      <c r="B109" t="s">
        <v>167</v>
      </c>
      <c r="C109">
        <v>7.7169696969696986</v>
      </c>
      <c r="D109" s="16">
        <v>7.96</v>
      </c>
      <c r="E109" s="16">
        <v>7.84</v>
      </c>
      <c r="F109" s="16">
        <v>7.98</v>
      </c>
      <c r="G109" s="16">
        <v>7.91</v>
      </c>
      <c r="H109" s="16">
        <v>7.89</v>
      </c>
      <c r="I109" s="16">
        <v>7.95</v>
      </c>
      <c r="J109" s="16">
        <v>8.0500000000000007</v>
      </c>
      <c r="K109" s="16">
        <v>7.9</v>
      </c>
      <c r="L109" s="16">
        <v>7.95</v>
      </c>
      <c r="M109">
        <v>7.81</v>
      </c>
      <c r="N109">
        <v>8.02</v>
      </c>
      <c r="O109">
        <v>7.95</v>
      </c>
      <c r="P109">
        <v>7.93</v>
      </c>
      <c r="Q109">
        <v>7.95</v>
      </c>
      <c r="R109">
        <v>7.8</v>
      </c>
      <c r="S109">
        <v>8.01</v>
      </c>
      <c r="T109">
        <v>8.06</v>
      </c>
      <c r="U109">
        <v>8.06</v>
      </c>
      <c r="V109">
        <v>8.08</v>
      </c>
      <c r="W109">
        <v>8.15</v>
      </c>
    </row>
    <row r="110" spans="1:23" x14ac:dyDescent="0.2">
      <c r="B110" t="s">
        <v>168</v>
      </c>
      <c r="C110">
        <v>7.7169696969696986</v>
      </c>
      <c r="D110" s="16">
        <v>7.97</v>
      </c>
      <c r="E110" s="16">
        <v>7.83</v>
      </c>
      <c r="F110" s="16">
        <v>7.96</v>
      </c>
      <c r="G110" s="16">
        <v>7.9</v>
      </c>
      <c r="H110" s="16">
        <v>7.9</v>
      </c>
      <c r="I110" s="16">
        <v>7.96</v>
      </c>
      <c r="J110" s="16">
        <v>8.06</v>
      </c>
      <c r="K110" s="16">
        <v>7.91</v>
      </c>
      <c r="L110" s="16">
        <v>7.96</v>
      </c>
      <c r="M110">
        <v>7.81</v>
      </c>
      <c r="N110">
        <v>8</v>
      </c>
      <c r="O110">
        <v>7.95</v>
      </c>
      <c r="P110">
        <v>7.93</v>
      </c>
      <c r="Q110">
        <v>8.01</v>
      </c>
      <c r="R110">
        <v>7.79</v>
      </c>
      <c r="S110">
        <v>8.02</v>
      </c>
      <c r="T110">
        <v>8.06</v>
      </c>
      <c r="U110">
        <v>8.2799999999999994</v>
      </c>
      <c r="V110">
        <v>8.0500000000000007</v>
      </c>
      <c r="W110">
        <v>8.1199999999999992</v>
      </c>
    </row>
    <row r="111" spans="1:23" x14ac:dyDescent="0.2">
      <c r="B111" t="s">
        <v>169</v>
      </c>
      <c r="C111">
        <v>7.7169696969696986</v>
      </c>
      <c r="D111" s="16">
        <v>7.95</v>
      </c>
      <c r="E111" s="16">
        <v>7.85</v>
      </c>
      <c r="F111" s="16">
        <v>8.0399999999999991</v>
      </c>
      <c r="G111" s="16">
        <v>7.9</v>
      </c>
      <c r="H111" s="16">
        <v>7.93</v>
      </c>
      <c r="I111" s="16">
        <v>7.97</v>
      </c>
      <c r="J111" s="16">
        <v>8.0500000000000007</v>
      </c>
      <c r="K111" s="16">
        <v>7.93</v>
      </c>
      <c r="L111" s="16">
        <v>7.99</v>
      </c>
      <c r="M111">
        <v>7.82</v>
      </c>
      <c r="N111">
        <v>8</v>
      </c>
      <c r="O111">
        <v>7.96</v>
      </c>
      <c r="P111">
        <v>7.93</v>
      </c>
      <c r="Q111">
        <v>7.99</v>
      </c>
      <c r="R111">
        <v>7.79</v>
      </c>
      <c r="S111">
        <v>8.01</v>
      </c>
      <c r="T111">
        <v>8.0399999999999991</v>
      </c>
      <c r="U111">
        <v>8.1999999999999993</v>
      </c>
      <c r="V111">
        <v>8.0299999999999994</v>
      </c>
      <c r="W111">
        <v>8.08</v>
      </c>
    </row>
    <row r="112" spans="1:23" x14ac:dyDescent="0.2">
      <c r="B112" t="s">
        <v>170</v>
      </c>
      <c r="C112">
        <v>7.68</v>
      </c>
      <c r="D112" s="16">
        <v>7.95</v>
      </c>
      <c r="E112" s="16">
        <v>7.86</v>
      </c>
      <c r="F112" s="16">
        <v>8.1999999999999993</v>
      </c>
      <c r="G112" s="16">
        <v>7.89</v>
      </c>
      <c r="H112" s="16">
        <v>8.0500000000000007</v>
      </c>
      <c r="I112" s="16">
        <v>8.0500000000000007</v>
      </c>
      <c r="J112" s="16">
        <v>8.08</v>
      </c>
      <c r="K112" s="16">
        <v>7.94</v>
      </c>
      <c r="L112" s="16">
        <v>7.99</v>
      </c>
      <c r="M112">
        <v>7.82</v>
      </c>
      <c r="N112">
        <v>8.07</v>
      </c>
      <c r="O112">
        <v>7.95</v>
      </c>
      <c r="P112">
        <v>7.93</v>
      </c>
      <c r="Q112">
        <v>7.96</v>
      </c>
      <c r="R112">
        <v>7.79</v>
      </c>
      <c r="S112">
        <v>8.01</v>
      </c>
      <c r="T112">
        <v>8.02</v>
      </c>
      <c r="U112">
        <v>8.1</v>
      </c>
      <c r="V112">
        <v>7.96</v>
      </c>
      <c r="W112">
        <v>8.0500000000000007</v>
      </c>
    </row>
    <row r="113" spans="1:24" x14ac:dyDescent="0.2">
      <c r="B113" t="s">
        <v>171</v>
      </c>
      <c r="C113">
        <v>7.68</v>
      </c>
      <c r="D113" s="16">
        <v>7.96</v>
      </c>
      <c r="E113" s="16">
        <v>7.85</v>
      </c>
      <c r="F113" s="16">
        <v>7.98</v>
      </c>
      <c r="G113" s="16">
        <v>7.91</v>
      </c>
      <c r="H113" s="16">
        <v>7.92</v>
      </c>
      <c r="I113" s="16">
        <v>7.94</v>
      </c>
      <c r="J113" s="16">
        <v>8.0399999999999991</v>
      </c>
      <c r="K113" s="16">
        <v>7.9</v>
      </c>
      <c r="L113" s="16">
        <v>7.98</v>
      </c>
      <c r="M113">
        <v>7.81</v>
      </c>
      <c r="N113">
        <v>7.76</v>
      </c>
      <c r="O113">
        <v>7.94</v>
      </c>
      <c r="P113">
        <v>7.92</v>
      </c>
      <c r="Q113">
        <v>7.97</v>
      </c>
      <c r="R113">
        <v>7.78</v>
      </c>
      <c r="S113">
        <v>8.01</v>
      </c>
      <c r="T113">
        <v>8.0399999999999991</v>
      </c>
      <c r="U113">
        <v>8.0299999999999994</v>
      </c>
      <c r="V113">
        <v>7.98</v>
      </c>
      <c r="W113">
        <v>8.07</v>
      </c>
    </row>
    <row r="115" spans="1:24" x14ac:dyDescent="0.2">
      <c r="B115" s="18" t="s">
        <v>174</v>
      </c>
    </row>
    <row r="116" spans="1:24" x14ac:dyDescent="0.2">
      <c r="A116" t="s">
        <v>84</v>
      </c>
      <c r="C116">
        <v>0</v>
      </c>
      <c r="D116">
        <v>1</v>
      </c>
      <c r="E116">
        <v>2</v>
      </c>
      <c r="F116">
        <v>3</v>
      </c>
      <c r="G116">
        <v>6</v>
      </c>
      <c r="H116">
        <v>9</v>
      </c>
      <c r="I116">
        <v>12</v>
      </c>
      <c r="J116">
        <v>15</v>
      </c>
      <c r="K116">
        <v>16</v>
      </c>
      <c r="L116">
        <v>17</v>
      </c>
      <c r="M116">
        <v>18</v>
      </c>
      <c r="N116">
        <v>21</v>
      </c>
      <c r="O116">
        <v>24</v>
      </c>
      <c r="P116">
        <v>27</v>
      </c>
      <c r="Q116">
        <v>30</v>
      </c>
      <c r="R116">
        <v>31</v>
      </c>
      <c r="S116">
        <v>32</v>
      </c>
      <c r="T116">
        <v>33</v>
      </c>
      <c r="U116">
        <v>36</v>
      </c>
      <c r="V116">
        <v>39</v>
      </c>
      <c r="W116">
        <v>42</v>
      </c>
      <c r="X116">
        <v>42</v>
      </c>
    </row>
    <row r="117" spans="1:24" x14ac:dyDescent="0.2">
      <c r="B117" t="s">
        <v>65</v>
      </c>
      <c r="C117">
        <v>0.64818181818181841</v>
      </c>
      <c r="D117">
        <v>0.66200000000000003</v>
      </c>
      <c r="E117">
        <v>0.63400000000000001</v>
      </c>
      <c r="F117">
        <v>0.65200000000000002</v>
      </c>
      <c r="G117">
        <v>0.64799999999999991</v>
      </c>
      <c r="H117">
        <v>0.65400000000000014</v>
      </c>
      <c r="I117">
        <v>0.63600000000000001</v>
      </c>
      <c r="J117">
        <v>0.63800000000000012</v>
      </c>
      <c r="K117" s="17">
        <v>0.64666666666666661</v>
      </c>
      <c r="L117">
        <v>0.63200000000000001</v>
      </c>
      <c r="M117">
        <v>0.64400000000000002</v>
      </c>
      <c r="N117">
        <v>0.628</v>
      </c>
      <c r="O117">
        <v>0.63400000000000001</v>
      </c>
      <c r="P117">
        <v>0.65400000000000003</v>
      </c>
      <c r="Q117">
        <v>0.65400000000000014</v>
      </c>
      <c r="R117">
        <v>0.624</v>
      </c>
      <c r="S117">
        <v>0.64800000000000002</v>
      </c>
      <c r="T117">
        <v>0.64799999999999991</v>
      </c>
      <c r="U117">
        <v>0.65400000000000003</v>
      </c>
      <c r="V117">
        <v>0.64600000000000002</v>
      </c>
      <c r="W117">
        <v>0.64600000000000002</v>
      </c>
      <c r="X117">
        <v>0.66</v>
      </c>
    </row>
    <row r="118" spans="1:24" x14ac:dyDescent="0.2">
      <c r="B118" t="s">
        <v>43</v>
      </c>
      <c r="C118">
        <v>0.64818181818181841</v>
      </c>
      <c r="D118" s="18"/>
      <c r="E118">
        <v>0.59599999999999997</v>
      </c>
      <c r="F118">
        <v>0.63200000000000001</v>
      </c>
      <c r="G118">
        <v>0.64</v>
      </c>
      <c r="H118" s="17">
        <v>0.67333333333333334</v>
      </c>
      <c r="I118">
        <v>0.6</v>
      </c>
      <c r="J118">
        <v>0.60399999999999987</v>
      </c>
      <c r="K118" s="18"/>
      <c r="L118" s="18"/>
      <c r="M118" s="17">
        <v>0.61333333333333329</v>
      </c>
      <c r="N118">
        <v>0.63800000000000001</v>
      </c>
      <c r="O118">
        <v>0.626</v>
      </c>
      <c r="P118">
        <v>0.64400000000000002</v>
      </c>
      <c r="Q118">
        <v>0.65200000000000002</v>
      </c>
      <c r="R118">
        <v>0.59399999999999997</v>
      </c>
      <c r="S118">
        <v>0.63600000000000001</v>
      </c>
      <c r="T118">
        <v>0.64400000000000002</v>
      </c>
      <c r="U118">
        <v>0.65800000000000003</v>
      </c>
      <c r="V118">
        <v>0.64200000000000013</v>
      </c>
      <c r="W118">
        <v>0.63800000000000001</v>
      </c>
      <c r="X118">
        <v>0.66</v>
      </c>
    </row>
    <row r="119" spans="1:24" x14ac:dyDescent="0.2">
      <c r="B119" t="s">
        <v>172</v>
      </c>
      <c r="C119">
        <v>0.62</v>
      </c>
      <c r="D119">
        <v>0.63</v>
      </c>
      <c r="E119">
        <v>0.63</v>
      </c>
      <c r="F119">
        <v>0.66</v>
      </c>
      <c r="G119">
        <v>0.67</v>
      </c>
      <c r="H119">
        <v>0.66</v>
      </c>
      <c r="I119">
        <v>0.62</v>
      </c>
      <c r="J119">
        <v>0.63</v>
      </c>
      <c r="K119" s="18"/>
      <c r="L119">
        <v>0.64</v>
      </c>
      <c r="M119">
        <v>0.65</v>
      </c>
      <c r="N119">
        <v>0.61</v>
      </c>
      <c r="O119">
        <v>0.64</v>
      </c>
      <c r="P119">
        <v>0.66</v>
      </c>
      <c r="Q119">
        <v>0.65</v>
      </c>
      <c r="S119">
        <v>0.66</v>
      </c>
      <c r="T119">
        <v>0.66</v>
      </c>
      <c r="U119">
        <v>0.67</v>
      </c>
      <c r="V119">
        <v>0.65</v>
      </c>
      <c r="W119">
        <v>0.66</v>
      </c>
      <c r="X119">
        <v>0.65</v>
      </c>
    </row>
    <row r="120" spans="1:24" x14ac:dyDescent="0.2">
      <c r="B120" t="s">
        <v>173</v>
      </c>
      <c r="C120">
        <v>0.62</v>
      </c>
      <c r="D120" s="18"/>
      <c r="E120">
        <v>0.6</v>
      </c>
      <c r="F120">
        <v>0.65</v>
      </c>
      <c r="G120">
        <v>0.68</v>
      </c>
      <c r="H120" s="18"/>
      <c r="I120" s="18"/>
      <c r="J120">
        <v>0.64</v>
      </c>
      <c r="K120" s="18"/>
      <c r="L120" s="18"/>
      <c r="M120" s="18"/>
      <c r="N120" s="18"/>
      <c r="O120" s="18"/>
      <c r="P120">
        <v>0.64</v>
      </c>
      <c r="Q120">
        <v>0.64</v>
      </c>
      <c r="R120">
        <v>0.62</v>
      </c>
      <c r="S120">
        <v>0.64</v>
      </c>
      <c r="T120">
        <v>0.66</v>
      </c>
      <c r="U120">
        <v>0.66</v>
      </c>
      <c r="V120">
        <v>0.66</v>
      </c>
      <c r="W120">
        <v>0.66</v>
      </c>
      <c r="X120">
        <v>0.66</v>
      </c>
    </row>
    <row r="121" spans="1:24" x14ac:dyDescent="0.2">
      <c r="X121">
        <v>0.66</v>
      </c>
    </row>
    <row r="122" spans="1:24" x14ac:dyDescent="0.2">
      <c r="C122">
        <v>0</v>
      </c>
      <c r="D122">
        <v>2.2803508501982747E-2</v>
      </c>
      <c r="E122">
        <v>1.1401754250991389E-2</v>
      </c>
      <c r="F122">
        <v>8.3666002653407633E-3</v>
      </c>
      <c r="G122">
        <v>4.4721359549995832E-3</v>
      </c>
      <c r="H122">
        <v>5.4772255750516665E-3</v>
      </c>
      <c r="I122">
        <v>5.4772255750516656E-3</v>
      </c>
      <c r="J122">
        <v>8.3666002653407616E-3</v>
      </c>
      <c r="K122" s="17">
        <v>1.527525231651948E-2</v>
      </c>
      <c r="L122">
        <v>1.3038404810405309E-2</v>
      </c>
      <c r="M122">
        <v>5.4772255750516656E-3</v>
      </c>
      <c r="N122">
        <v>1.6431676725154998E-2</v>
      </c>
      <c r="O122">
        <v>5.4772255750516656E-3</v>
      </c>
      <c r="P122">
        <v>5.4772255750516656E-3</v>
      </c>
      <c r="Q122">
        <v>8.9442719099991665E-3</v>
      </c>
      <c r="R122">
        <v>3.9115214431215885E-2</v>
      </c>
      <c r="S122">
        <v>1.3038404810405309E-2</v>
      </c>
      <c r="T122">
        <v>4.4721359549995832E-3</v>
      </c>
      <c r="U122">
        <v>5.4772255750516656E-3</v>
      </c>
      <c r="V122">
        <v>1.1401754250991389E-2</v>
      </c>
      <c r="W122">
        <v>5.4772255750516665E-3</v>
      </c>
      <c r="X122">
        <v>0.64</v>
      </c>
    </row>
    <row r="123" spans="1:24" x14ac:dyDescent="0.2">
      <c r="C123">
        <v>0</v>
      </c>
      <c r="D123">
        <v>0</v>
      </c>
      <c r="E123">
        <v>1.1401754250991391E-2</v>
      </c>
      <c r="F123">
        <v>1.3038404810405309E-2</v>
      </c>
      <c r="G123">
        <v>1.8708286933869722E-2</v>
      </c>
      <c r="H123" s="17">
        <v>5.7735026918962623E-3</v>
      </c>
      <c r="I123">
        <v>1.4142135623730963E-2</v>
      </c>
      <c r="J123">
        <v>2.1908902300206663E-2</v>
      </c>
      <c r="K123">
        <v>0</v>
      </c>
      <c r="L123">
        <v>0</v>
      </c>
      <c r="M123" s="17">
        <v>2.0816659994661344E-2</v>
      </c>
      <c r="N123">
        <v>1.0954451150103331E-2</v>
      </c>
      <c r="O123">
        <v>1.1401754250991389E-2</v>
      </c>
      <c r="P123">
        <v>1.5165750888103116E-2</v>
      </c>
      <c r="Q123">
        <v>1.3038404810405309E-2</v>
      </c>
      <c r="R123">
        <v>2.073644135332774E-2</v>
      </c>
      <c r="S123">
        <v>1.1401754250991389E-2</v>
      </c>
      <c r="T123">
        <v>1.1401754250991391E-2</v>
      </c>
      <c r="U123">
        <v>1.3038404810405309E-2</v>
      </c>
      <c r="V123">
        <v>1.3038404810405309E-2</v>
      </c>
      <c r="W123">
        <v>1.3038404810405309E-2</v>
      </c>
      <c r="X123">
        <v>0.64</v>
      </c>
    </row>
    <row r="124" spans="1:24" x14ac:dyDescent="0.2">
      <c r="A124" t="s">
        <v>85</v>
      </c>
      <c r="X124">
        <v>0.64</v>
      </c>
    </row>
    <row r="125" spans="1:24" x14ac:dyDescent="0.2">
      <c r="B125" t="s">
        <v>65</v>
      </c>
      <c r="C125">
        <v>7.7169696969696986</v>
      </c>
      <c r="D125">
        <v>7.9480000000000004</v>
      </c>
      <c r="E125">
        <v>7.8439999999999994</v>
      </c>
      <c r="F125">
        <v>8.1640000000000015</v>
      </c>
      <c r="G125">
        <v>7.8559999999999999</v>
      </c>
      <c r="H125">
        <v>8.0699999999999985</v>
      </c>
      <c r="I125">
        <v>8.0459999999999994</v>
      </c>
      <c r="J125">
        <v>8.0859999999999985</v>
      </c>
      <c r="K125">
        <v>7.9479999999999986</v>
      </c>
      <c r="L125">
        <v>8.0139999999999993</v>
      </c>
      <c r="M125">
        <v>7.8539999999999992</v>
      </c>
      <c r="N125">
        <v>8.0540000000000003</v>
      </c>
      <c r="O125">
        <v>7.9620000000000006</v>
      </c>
      <c r="P125">
        <v>7.9340000000000002</v>
      </c>
      <c r="Q125">
        <v>8.0440000000000005</v>
      </c>
      <c r="R125">
        <v>7.8079999999999998</v>
      </c>
      <c r="S125">
        <v>8</v>
      </c>
      <c r="T125">
        <v>8.0259999999999998</v>
      </c>
      <c r="U125">
        <v>8.0599999999999987</v>
      </c>
      <c r="V125">
        <v>7.9599999999999991</v>
      </c>
      <c r="W125">
        <v>8.0500000000000007</v>
      </c>
      <c r="X125">
        <v>0.63</v>
      </c>
    </row>
    <row r="126" spans="1:24" x14ac:dyDescent="0.2">
      <c r="B126" t="s">
        <v>43</v>
      </c>
      <c r="C126">
        <v>7.7169696969696986</v>
      </c>
      <c r="D126">
        <v>7.9540000000000006</v>
      </c>
      <c r="E126">
        <v>7.8280000000000003</v>
      </c>
      <c r="F126" s="16">
        <v>7.9859999999999998</v>
      </c>
      <c r="G126">
        <v>7.8860000000000001</v>
      </c>
      <c r="H126">
        <v>7.9120000000000008</v>
      </c>
      <c r="I126">
        <v>7.9540000000000006</v>
      </c>
      <c r="J126">
        <v>8.0479999999999983</v>
      </c>
      <c r="K126">
        <v>7.9139999999999997</v>
      </c>
      <c r="L126">
        <v>7.9659999999999993</v>
      </c>
      <c r="M126">
        <v>7.8179999999999996</v>
      </c>
      <c r="N126">
        <v>8.0139999999999993</v>
      </c>
      <c r="O126">
        <v>7.95</v>
      </c>
      <c r="P126">
        <v>7.9319999999999995</v>
      </c>
      <c r="Q126">
        <v>7.992</v>
      </c>
      <c r="R126">
        <v>7.7900000000000009</v>
      </c>
      <c r="S126">
        <v>7.9960000000000004</v>
      </c>
      <c r="T126">
        <v>8.032</v>
      </c>
      <c r="U126">
        <v>8.1199999999999992</v>
      </c>
      <c r="V126">
        <v>8.0300000000000011</v>
      </c>
      <c r="W126">
        <v>8.0879999999999992</v>
      </c>
      <c r="X126">
        <v>0.64</v>
      </c>
    </row>
    <row r="127" spans="1:24" x14ac:dyDescent="0.2">
      <c r="B127" t="s">
        <v>172</v>
      </c>
      <c r="C127">
        <v>7.68</v>
      </c>
      <c r="D127">
        <v>7.95</v>
      </c>
      <c r="E127">
        <v>7.86</v>
      </c>
      <c r="F127">
        <v>8.1999999999999993</v>
      </c>
      <c r="G127">
        <v>7.89</v>
      </c>
      <c r="H127">
        <v>8.0500000000000007</v>
      </c>
      <c r="I127">
        <v>8.0500000000000007</v>
      </c>
      <c r="J127">
        <v>8.08</v>
      </c>
      <c r="K127">
        <v>7.94</v>
      </c>
      <c r="L127">
        <v>7.99</v>
      </c>
      <c r="M127">
        <v>7.82</v>
      </c>
      <c r="N127">
        <v>8.07</v>
      </c>
      <c r="O127">
        <v>7.95</v>
      </c>
      <c r="P127">
        <v>7.93</v>
      </c>
      <c r="Q127">
        <v>7.96</v>
      </c>
      <c r="R127">
        <v>7.79</v>
      </c>
      <c r="S127">
        <v>8.01</v>
      </c>
      <c r="T127">
        <v>8.02</v>
      </c>
      <c r="U127">
        <v>8.1</v>
      </c>
      <c r="V127">
        <v>7.96</v>
      </c>
      <c r="W127">
        <v>8.0500000000000007</v>
      </c>
      <c r="X127">
        <v>0.63</v>
      </c>
    </row>
    <row r="128" spans="1:24" x14ac:dyDescent="0.2">
      <c r="B128" t="s">
        <v>173</v>
      </c>
      <c r="C128">
        <v>7.68</v>
      </c>
      <c r="D128">
        <v>7.96</v>
      </c>
      <c r="E128">
        <v>7.85</v>
      </c>
      <c r="F128">
        <v>7.98</v>
      </c>
      <c r="G128">
        <v>7.91</v>
      </c>
      <c r="H128">
        <v>7.92</v>
      </c>
      <c r="I128">
        <v>7.94</v>
      </c>
      <c r="J128">
        <v>8.0399999999999991</v>
      </c>
      <c r="K128">
        <v>7.9</v>
      </c>
      <c r="L128">
        <v>7.98</v>
      </c>
      <c r="M128">
        <v>7.81</v>
      </c>
      <c r="N128">
        <v>7.76</v>
      </c>
      <c r="O128">
        <v>7.94</v>
      </c>
      <c r="P128">
        <v>7.92</v>
      </c>
      <c r="Q128">
        <v>7.97</v>
      </c>
      <c r="R128">
        <v>7.78</v>
      </c>
      <c r="S128">
        <v>8.01</v>
      </c>
      <c r="T128">
        <v>8.0399999999999991</v>
      </c>
      <c r="U128">
        <v>8.0299999999999994</v>
      </c>
      <c r="V128">
        <v>7.98</v>
      </c>
      <c r="W128">
        <v>8.07</v>
      </c>
      <c r="X128">
        <v>0.65</v>
      </c>
    </row>
    <row r="130" spans="1:23" x14ac:dyDescent="0.2">
      <c r="A130" t="s">
        <v>52</v>
      </c>
    </row>
    <row r="131" spans="1:23" x14ac:dyDescent="0.2">
      <c r="A131" t="s">
        <v>84</v>
      </c>
      <c r="C131">
        <v>0</v>
      </c>
      <c r="D131">
        <v>1</v>
      </c>
      <c r="E131">
        <v>2</v>
      </c>
      <c r="F131">
        <v>3</v>
      </c>
      <c r="G131">
        <v>6</v>
      </c>
      <c r="H131">
        <v>9</v>
      </c>
      <c r="I131">
        <v>12</v>
      </c>
      <c r="J131">
        <v>15</v>
      </c>
      <c r="K131">
        <v>16</v>
      </c>
      <c r="L131">
        <v>17</v>
      </c>
      <c r="M131">
        <v>18</v>
      </c>
      <c r="N131">
        <v>21</v>
      </c>
      <c r="O131">
        <v>24</v>
      </c>
      <c r="P131">
        <v>27</v>
      </c>
      <c r="Q131">
        <v>30</v>
      </c>
      <c r="R131">
        <v>31</v>
      </c>
      <c r="S131">
        <v>32</v>
      </c>
      <c r="T131">
        <v>33</v>
      </c>
      <c r="U131">
        <v>36</v>
      </c>
      <c r="V131">
        <v>39</v>
      </c>
      <c r="W131">
        <v>42</v>
      </c>
    </row>
    <row r="132" spans="1:23" x14ac:dyDescent="0.2">
      <c r="B132" t="s">
        <v>160</v>
      </c>
      <c r="C132">
        <v>0.62032258064516133</v>
      </c>
      <c r="D132">
        <v>0.52</v>
      </c>
      <c r="E132">
        <v>0.61</v>
      </c>
      <c r="F132">
        <v>0.62</v>
      </c>
      <c r="G132">
        <v>0.67</v>
      </c>
      <c r="H132">
        <v>0.62</v>
      </c>
      <c r="I132">
        <v>0.63</v>
      </c>
      <c r="J132">
        <v>0.66</v>
      </c>
      <c r="K132">
        <v>0.57999999999999996</v>
      </c>
      <c r="L132">
        <v>0.65</v>
      </c>
      <c r="M132">
        <v>0.66</v>
      </c>
      <c r="N132">
        <v>0.66</v>
      </c>
      <c r="O132">
        <v>0.64</v>
      </c>
      <c r="P132">
        <v>0.67</v>
      </c>
      <c r="Q132">
        <v>0.64</v>
      </c>
      <c r="R132">
        <v>0.6</v>
      </c>
      <c r="S132">
        <v>0.65</v>
      </c>
      <c r="T132">
        <v>0.65</v>
      </c>
      <c r="U132">
        <v>0.66</v>
      </c>
      <c r="V132">
        <v>0.67</v>
      </c>
      <c r="W132">
        <v>0.66</v>
      </c>
    </row>
    <row r="133" spans="1:23" x14ac:dyDescent="0.2">
      <c r="B133" t="s">
        <v>161</v>
      </c>
      <c r="C133">
        <v>0.62032258064516133</v>
      </c>
      <c r="D133">
        <v>0.56999999999999995</v>
      </c>
      <c r="E133">
        <v>0.64</v>
      </c>
      <c r="F133">
        <v>0.64</v>
      </c>
      <c r="G133">
        <v>0.66</v>
      </c>
      <c r="H133">
        <v>0.63</v>
      </c>
      <c r="I133">
        <v>0.64</v>
      </c>
      <c r="J133">
        <v>0.65</v>
      </c>
      <c r="K133">
        <v>0.6</v>
      </c>
      <c r="L133">
        <v>0.66</v>
      </c>
      <c r="M133">
        <v>0.66</v>
      </c>
      <c r="N133">
        <v>0.65</v>
      </c>
      <c r="O133">
        <v>0.66</v>
      </c>
      <c r="P133">
        <v>0.67</v>
      </c>
      <c r="Q133">
        <v>0.65</v>
      </c>
      <c r="R133">
        <v>0.62</v>
      </c>
      <c r="S133">
        <v>0.66</v>
      </c>
      <c r="T133">
        <v>0.66</v>
      </c>
      <c r="U133">
        <v>0.65</v>
      </c>
      <c r="V133">
        <v>0.64</v>
      </c>
      <c r="W133">
        <v>0.66</v>
      </c>
    </row>
    <row r="134" spans="1:23" x14ac:dyDescent="0.2">
      <c r="B134" t="s">
        <v>162</v>
      </c>
      <c r="C134">
        <v>0.62032258064516133</v>
      </c>
      <c r="D134">
        <v>0.56000000000000005</v>
      </c>
      <c r="E134">
        <v>0.61</v>
      </c>
      <c r="F134">
        <v>0.64</v>
      </c>
      <c r="G134">
        <v>0.65</v>
      </c>
      <c r="H134">
        <v>0.65</v>
      </c>
      <c r="I134">
        <v>0.64</v>
      </c>
      <c r="J134">
        <v>0.65</v>
      </c>
      <c r="K134">
        <v>0.66</v>
      </c>
      <c r="L134">
        <v>0.66</v>
      </c>
      <c r="M134">
        <v>0.66</v>
      </c>
      <c r="N134">
        <v>0.68</v>
      </c>
      <c r="O134">
        <v>0.66</v>
      </c>
      <c r="P134">
        <v>0.68</v>
      </c>
      <c r="Q134">
        <v>0.65</v>
      </c>
      <c r="R134">
        <v>0.62</v>
      </c>
      <c r="S134">
        <v>0.68</v>
      </c>
      <c r="T134">
        <v>0.66</v>
      </c>
      <c r="U134">
        <v>0.65</v>
      </c>
      <c r="V134">
        <v>0.67</v>
      </c>
      <c r="W134">
        <v>0.65</v>
      </c>
    </row>
    <row r="135" spans="1:23" x14ac:dyDescent="0.2">
      <c r="B135" t="s">
        <v>163</v>
      </c>
      <c r="C135">
        <v>0.62032258064516133</v>
      </c>
      <c r="D135">
        <v>0.56000000000000005</v>
      </c>
      <c r="E135">
        <v>0.64</v>
      </c>
      <c r="F135">
        <v>0.63</v>
      </c>
      <c r="G135">
        <v>0.65</v>
      </c>
      <c r="H135">
        <v>0.65</v>
      </c>
      <c r="I135">
        <v>0.63</v>
      </c>
      <c r="J135">
        <v>0.65</v>
      </c>
      <c r="K135">
        <v>0.62</v>
      </c>
      <c r="L135">
        <v>0.66</v>
      </c>
      <c r="M135">
        <v>0.66</v>
      </c>
      <c r="N135">
        <v>0.67</v>
      </c>
      <c r="O135">
        <v>0.67</v>
      </c>
      <c r="P135">
        <v>0.68</v>
      </c>
      <c r="Q135">
        <v>0.66</v>
      </c>
      <c r="R135">
        <v>0.66</v>
      </c>
      <c r="S135">
        <v>0.61</v>
      </c>
      <c r="T135">
        <v>0.64</v>
      </c>
      <c r="U135">
        <v>0.65</v>
      </c>
      <c r="V135">
        <v>0.64</v>
      </c>
      <c r="W135">
        <v>0.66</v>
      </c>
    </row>
    <row r="136" spans="1:23" x14ac:dyDescent="0.2">
      <c r="B136" t="s">
        <v>164</v>
      </c>
      <c r="C136">
        <v>0.62032258064516133</v>
      </c>
      <c r="D136">
        <v>0.59</v>
      </c>
      <c r="E136">
        <v>0.64</v>
      </c>
      <c r="F136">
        <v>0.6</v>
      </c>
      <c r="G136">
        <v>0.66</v>
      </c>
      <c r="H136" s="18"/>
      <c r="I136">
        <v>0.64</v>
      </c>
      <c r="J136">
        <v>0.67</v>
      </c>
      <c r="K136">
        <v>0.64</v>
      </c>
      <c r="L136">
        <v>0.65</v>
      </c>
      <c r="M136">
        <v>0.67</v>
      </c>
      <c r="N136">
        <v>0.68</v>
      </c>
      <c r="O136">
        <v>0.66</v>
      </c>
      <c r="P136">
        <v>0.68</v>
      </c>
      <c r="Q136">
        <v>0.66</v>
      </c>
      <c r="R136">
        <v>0.65</v>
      </c>
      <c r="S136">
        <v>0.65</v>
      </c>
      <c r="T136">
        <v>0.66</v>
      </c>
      <c r="U136">
        <v>0.65</v>
      </c>
      <c r="V136">
        <v>0.67</v>
      </c>
      <c r="W136">
        <v>0.66</v>
      </c>
    </row>
    <row r="137" spans="1:23" x14ac:dyDescent="0.2">
      <c r="B137" t="s">
        <v>165</v>
      </c>
      <c r="C137">
        <v>0.62032258064516133</v>
      </c>
      <c r="D137">
        <v>0.37</v>
      </c>
      <c r="E137">
        <v>0.5</v>
      </c>
      <c r="F137">
        <v>0.64</v>
      </c>
      <c r="G137">
        <v>0.66</v>
      </c>
      <c r="H137">
        <v>0.47</v>
      </c>
      <c r="I137">
        <v>0.55000000000000004</v>
      </c>
      <c r="J137">
        <v>0.66</v>
      </c>
      <c r="K137">
        <v>0.54</v>
      </c>
      <c r="L137">
        <v>0.57999999999999996</v>
      </c>
      <c r="M137">
        <v>0.66</v>
      </c>
      <c r="N137">
        <v>0.67</v>
      </c>
      <c r="O137">
        <v>0.64</v>
      </c>
      <c r="P137">
        <v>0.67</v>
      </c>
      <c r="Q137">
        <v>0.61</v>
      </c>
      <c r="R137">
        <v>0.64</v>
      </c>
      <c r="S137">
        <v>0.61</v>
      </c>
      <c r="T137">
        <v>0.66</v>
      </c>
      <c r="U137">
        <v>0.67</v>
      </c>
      <c r="V137">
        <v>0.65</v>
      </c>
      <c r="W137">
        <v>0.64</v>
      </c>
    </row>
    <row r="138" spans="1:23" x14ac:dyDescent="0.2">
      <c r="B138" t="s">
        <v>166</v>
      </c>
      <c r="C138">
        <v>0.62032258064516133</v>
      </c>
      <c r="D138">
        <v>0.38</v>
      </c>
      <c r="E138">
        <v>0.49</v>
      </c>
      <c r="F138">
        <v>0.63</v>
      </c>
      <c r="G138">
        <v>0.68</v>
      </c>
      <c r="H138">
        <v>0.56999999999999995</v>
      </c>
      <c r="I138">
        <v>0.56999999999999995</v>
      </c>
      <c r="J138">
        <v>0.65</v>
      </c>
      <c r="K138">
        <v>0.53</v>
      </c>
      <c r="L138">
        <v>0.63</v>
      </c>
      <c r="M138">
        <v>0.66</v>
      </c>
      <c r="N138">
        <v>0.64</v>
      </c>
      <c r="O138">
        <v>0.64</v>
      </c>
      <c r="P138">
        <v>0.65</v>
      </c>
      <c r="Q138">
        <v>0.63</v>
      </c>
      <c r="R138">
        <v>0.63</v>
      </c>
      <c r="S138">
        <v>0.65</v>
      </c>
      <c r="T138">
        <v>0.63</v>
      </c>
      <c r="U138">
        <v>0.63</v>
      </c>
      <c r="V138">
        <v>0.61</v>
      </c>
      <c r="W138">
        <v>0.64</v>
      </c>
    </row>
    <row r="139" spans="1:23" x14ac:dyDescent="0.2">
      <c r="B139" t="s">
        <v>167</v>
      </c>
      <c r="C139">
        <v>0.62032258064516133</v>
      </c>
      <c r="D139">
        <v>0.37</v>
      </c>
      <c r="E139">
        <v>0.51</v>
      </c>
      <c r="F139">
        <v>0.62</v>
      </c>
      <c r="G139">
        <v>0.65</v>
      </c>
      <c r="H139">
        <v>0.45</v>
      </c>
      <c r="I139">
        <v>0.54</v>
      </c>
      <c r="J139">
        <v>0.67</v>
      </c>
      <c r="K139">
        <v>0.6</v>
      </c>
      <c r="L139">
        <v>0.61</v>
      </c>
      <c r="M139">
        <v>0.66</v>
      </c>
      <c r="N139">
        <v>0.65</v>
      </c>
      <c r="O139">
        <v>0.66</v>
      </c>
      <c r="P139">
        <v>0.65</v>
      </c>
      <c r="Q139">
        <v>0.61</v>
      </c>
      <c r="R139">
        <v>0.65</v>
      </c>
      <c r="S139">
        <v>0.63</v>
      </c>
      <c r="T139">
        <v>0.65</v>
      </c>
      <c r="U139">
        <v>0.6</v>
      </c>
      <c r="V139">
        <v>0.63</v>
      </c>
      <c r="W139">
        <v>0.64</v>
      </c>
    </row>
    <row r="140" spans="1:23" x14ac:dyDescent="0.2">
      <c r="B140" t="s">
        <v>168</v>
      </c>
      <c r="C140">
        <v>0.62032258064516133</v>
      </c>
      <c r="D140">
        <v>0.28999999999999998</v>
      </c>
      <c r="E140">
        <v>0.54</v>
      </c>
      <c r="F140">
        <v>0.66</v>
      </c>
      <c r="G140">
        <v>0.68</v>
      </c>
      <c r="H140">
        <v>0.45</v>
      </c>
      <c r="I140">
        <v>0.56000000000000005</v>
      </c>
      <c r="J140">
        <v>0.68</v>
      </c>
      <c r="K140">
        <v>0.59</v>
      </c>
      <c r="L140">
        <v>0.64</v>
      </c>
      <c r="M140">
        <v>0.67</v>
      </c>
      <c r="N140">
        <v>0.68</v>
      </c>
      <c r="O140">
        <v>0.66</v>
      </c>
      <c r="P140">
        <v>0.67</v>
      </c>
      <c r="Q140">
        <v>0.65</v>
      </c>
      <c r="R140">
        <v>0.66</v>
      </c>
      <c r="S140">
        <v>0.64</v>
      </c>
      <c r="T140">
        <v>0.62</v>
      </c>
      <c r="U140">
        <v>0.52</v>
      </c>
      <c r="V140">
        <v>0.65</v>
      </c>
      <c r="W140">
        <v>0.63</v>
      </c>
    </row>
    <row r="141" spans="1:23" x14ac:dyDescent="0.2">
      <c r="B141" t="s">
        <v>169</v>
      </c>
      <c r="C141">
        <v>0.62032258064516133</v>
      </c>
      <c r="D141">
        <v>0.36</v>
      </c>
      <c r="E141">
        <v>0.51</v>
      </c>
      <c r="F141">
        <v>0.61</v>
      </c>
      <c r="G141">
        <v>0.66</v>
      </c>
      <c r="H141">
        <v>0.55000000000000004</v>
      </c>
      <c r="I141">
        <v>0.5</v>
      </c>
      <c r="J141">
        <v>0.66</v>
      </c>
      <c r="K141">
        <v>0.53</v>
      </c>
      <c r="L141">
        <v>0.64</v>
      </c>
      <c r="M141">
        <v>0.67</v>
      </c>
      <c r="N141">
        <v>0.64</v>
      </c>
      <c r="O141">
        <v>0.67</v>
      </c>
      <c r="P141">
        <v>0.68</v>
      </c>
      <c r="Q141">
        <v>0.66</v>
      </c>
      <c r="R141">
        <v>0.68</v>
      </c>
      <c r="S141">
        <v>0.66</v>
      </c>
      <c r="T141">
        <v>0.65</v>
      </c>
      <c r="U141">
        <v>0.54</v>
      </c>
      <c r="V141">
        <v>0.65</v>
      </c>
      <c r="W141">
        <v>0.64</v>
      </c>
    </row>
    <row r="142" spans="1:23" x14ac:dyDescent="0.2">
      <c r="B142" t="s">
        <v>170</v>
      </c>
      <c r="C142">
        <v>0.63</v>
      </c>
      <c r="D142">
        <v>0.62</v>
      </c>
      <c r="E142">
        <v>0.63</v>
      </c>
      <c r="F142">
        <v>0.65</v>
      </c>
      <c r="G142">
        <v>0.68</v>
      </c>
      <c r="H142">
        <v>0.64</v>
      </c>
      <c r="I142">
        <v>0.64</v>
      </c>
      <c r="J142">
        <v>0.67</v>
      </c>
      <c r="K142">
        <v>0.66</v>
      </c>
      <c r="L142">
        <v>0.67</v>
      </c>
      <c r="M142">
        <v>0.67</v>
      </c>
      <c r="N142">
        <v>0.64</v>
      </c>
      <c r="O142">
        <v>0.66</v>
      </c>
      <c r="P142">
        <v>0.67</v>
      </c>
      <c r="Q142">
        <v>0.65</v>
      </c>
      <c r="R142">
        <v>0.6</v>
      </c>
      <c r="S142">
        <v>0.69</v>
      </c>
      <c r="T142">
        <v>0.66</v>
      </c>
      <c r="U142">
        <v>0.62</v>
      </c>
      <c r="V142">
        <v>0.65</v>
      </c>
      <c r="W142">
        <v>0.63</v>
      </c>
    </row>
    <row r="143" spans="1:23" x14ac:dyDescent="0.2">
      <c r="B143" t="s">
        <v>171</v>
      </c>
      <c r="C143">
        <v>0.63</v>
      </c>
      <c r="D143">
        <v>0.36</v>
      </c>
      <c r="E143">
        <v>0.56000000000000005</v>
      </c>
      <c r="F143">
        <v>0.63</v>
      </c>
      <c r="G143">
        <v>0.7</v>
      </c>
      <c r="H143">
        <v>0.64</v>
      </c>
      <c r="I143">
        <v>0.61</v>
      </c>
      <c r="J143">
        <v>0.65</v>
      </c>
      <c r="K143">
        <v>0.63</v>
      </c>
      <c r="L143">
        <v>0.64</v>
      </c>
      <c r="M143">
        <v>0.68</v>
      </c>
      <c r="N143">
        <v>0.67</v>
      </c>
      <c r="O143">
        <v>0.67</v>
      </c>
      <c r="P143">
        <v>0.68</v>
      </c>
      <c r="Q143">
        <v>0.66</v>
      </c>
      <c r="R143">
        <v>0.64</v>
      </c>
      <c r="S143">
        <v>0.66</v>
      </c>
      <c r="T143">
        <v>0.66</v>
      </c>
      <c r="U143">
        <v>0.65</v>
      </c>
      <c r="V143">
        <v>0.67</v>
      </c>
      <c r="W143">
        <v>0.65</v>
      </c>
    </row>
    <row r="145" spans="1:23" x14ac:dyDescent="0.2">
      <c r="A145" t="s">
        <v>85</v>
      </c>
    </row>
    <row r="146" spans="1:23" x14ac:dyDescent="0.2">
      <c r="B146" t="s">
        <v>160</v>
      </c>
      <c r="C146">
        <v>7.967741935483871</v>
      </c>
      <c r="D146" s="16">
        <v>7.93</v>
      </c>
      <c r="E146" s="16">
        <v>7.95</v>
      </c>
      <c r="F146" s="16">
        <v>8</v>
      </c>
      <c r="G146" s="16">
        <v>8.16</v>
      </c>
      <c r="H146" s="16">
        <v>8.02</v>
      </c>
      <c r="I146" s="16">
        <v>8.0299999999999994</v>
      </c>
      <c r="J146" s="16">
        <v>8.1</v>
      </c>
      <c r="K146" s="16">
        <v>7.93</v>
      </c>
      <c r="L146" s="16">
        <v>8</v>
      </c>
      <c r="M146">
        <v>8.11</v>
      </c>
      <c r="N146">
        <v>8.15</v>
      </c>
      <c r="O146">
        <v>7.93</v>
      </c>
      <c r="P146">
        <v>7.86</v>
      </c>
      <c r="Q146">
        <v>7.86</v>
      </c>
      <c r="R146">
        <v>7.89</v>
      </c>
      <c r="S146">
        <v>7.94</v>
      </c>
      <c r="T146">
        <v>7.93</v>
      </c>
      <c r="U146">
        <v>8.1</v>
      </c>
      <c r="V146">
        <v>7.98</v>
      </c>
      <c r="W146">
        <v>7.75</v>
      </c>
    </row>
    <row r="147" spans="1:23" x14ac:dyDescent="0.2">
      <c r="B147" t="s">
        <v>161</v>
      </c>
      <c r="C147">
        <v>7.967741935483871</v>
      </c>
      <c r="D147" s="16">
        <v>7.86</v>
      </c>
      <c r="E147" s="16">
        <v>7.91</v>
      </c>
      <c r="F147" s="16">
        <v>8.0500000000000007</v>
      </c>
      <c r="G147" s="16">
        <v>8.17</v>
      </c>
      <c r="H147" s="16">
        <v>8.06</v>
      </c>
      <c r="I147" s="16">
        <v>8.07</v>
      </c>
      <c r="J147" s="16">
        <v>8.16</v>
      </c>
      <c r="K147" s="16">
        <v>7.98</v>
      </c>
      <c r="L147" s="16">
        <v>8.01</v>
      </c>
      <c r="M147">
        <v>8.11</v>
      </c>
      <c r="N147">
        <v>8.17</v>
      </c>
      <c r="O147">
        <v>7.94</v>
      </c>
      <c r="P147">
        <v>7.87</v>
      </c>
      <c r="Q147">
        <v>7.94</v>
      </c>
      <c r="R147">
        <v>7.92</v>
      </c>
      <c r="S147">
        <v>7.97</v>
      </c>
      <c r="T147">
        <v>8.01</v>
      </c>
      <c r="U147">
        <v>8.16</v>
      </c>
      <c r="V147">
        <v>7.82</v>
      </c>
      <c r="W147">
        <v>8.01</v>
      </c>
    </row>
    <row r="148" spans="1:23" x14ac:dyDescent="0.2">
      <c r="B148" t="s">
        <v>162</v>
      </c>
      <c r="C148">
        <v>7.967741935483871</v>
      </c>
      <c r="D148" s="16">
        <v>7.88</v>
      </c>
      <c r="E148" s="16">
        <v>7.9</v>
      </c>
      <c r="F148" s="16">
        <v>8.07</v>
      </c>
      <c r="G148" s="16">
        <v>8.1999999999999993</v>
      </c>
      <c r="H148" s="16">
        <v>8.09</v>
      </c>
      <c r="I148" s="16">
        <v>8.08</v>
      </c>
      <c r="J148" s="16">
        <v>8.2200000000000006</v>
      </c>
      <c r="K148" s="16">
        <v>8</v>
      </c>
      <c r="L148" s="16">
        <v>8.0399999999999991</v>
      </c>
      <c r="M148">
        <v>8.2100000000000009</v>
      </c>
      <c r="N148">
        <v>8.25</v>
      </c>
      <c r="O148">
        <v>7.99</v>
      </c>
      <c r="P148">
        <v>7.9</v>
      </c>
      <c r="Q148">
        <v>7.94</v>
      </c>
      <c r="R148">
        <v>7.95</v>
      </c>
      <c r="S148">
        <v>7.99</v>
      </c>
      <c r="T148">
        <v>8.0500000000000007</v>
      </c>
      <c r="U148">
        <v>8.02</v>
      </c>
      <c r="V148">
        <v>7.91</v>
      </c>
      <c r="W148">
        <v>8.08</v>
      </c>
    </row>
    <row r="149" spans="1:23" x14ac:dyDescent="0.2">
      <c r="B149" t="s">
        <v>163</v>
      </c>
      <c r="C149">
        <v>7.967741935483871</v>
      </c>
      <c r="D149" s="16">
        <v>7.9</v>
      </c>
      <c r="E149" s="16">
        <v>7.91</v>
      </c>
      <c r="F149" s="16">
        <v>8.01</v>
      </c>
      <c r="G149" s="16">
        <v>8.18</v>
      </c>
      <c r="H149" s="16">
        <v>8.1199999999999992</v>
      </c>
      <c r="I149" s="16">
        <v>8.11</v>
      </c>
      <c r="J149" s="16">
        <v>8.1999999999999993</v>
      </c>
      <c r="K149" s="16">
        <v>8.01</v>
      </c>
      <c r="L149" s="16">
        <v>8.0399999999999991</v>
      </c>
      <c r="M149">
        <v>8.19</v>
      </c>
      <c r="N149">
        <v>8.2200000000000006</v>
      </c>
      <c r="O149">
        <v>7.99</v>
      </c>
      <c r="P149">
        <v>7.92</v>
      </c>
      <c r="Q149">
        <v>7.98</v>
      </c>
      <c r="R149">
        <v>7.96</v>
      </c>
      <c r="S149">
        <v>8</v>
      </c>
      <c r="T149">
        <v>8.0500000000000007</v>
      </c>
      <c r="U149">
        <v>8.19</v>
      </c>
      <c r="V149">
        <v>7.89</v>
      </c>
      <c r="W149">
        <v>8.08</v>
      </c>
    </row>
    <row r="150" spans="1:23" x14ac:dyDescent="0.2">
      <c r="B150" t="s">
        <v>164</v>
      </c>
      <c r="C150">
        <v>7.967741935483871</v>
      </c>
      <c r="D150" s="16">
        <v>7.89</v>
      </c>
      <c r="E150" s="16">
        <v>7.92</v>
      </c>
      <c r="F150" s="16">
        <v>8.0500000000000007</v>
      </c>
      <c r="G150" s="16">
        <v>8.19</v>
      </c>
      <c r="H150" s="16">
        <v>8.06</v>
      </c>
      <c r="I150" s="16">
        <v>8.08</v>
      </c>
      <c r="J150" s="16">
        <v>8.18</v>
      </c>
      <c r="K150" s="16">
        <v>8.01</v>
      </c>
      <c r="L150" s="16">
        <v>8.0299999999999994</v>
      </c>
      <c r="M150">
        <v>8.1999999999999993</v>
      </c>
      <c r="N150">
        <v>8.25</v>
      </c>
      <c r="O150">
        <v>8</v>
      </c>
      <c r="P150">
        <v>7.93</v>
      </c>
      <c r="Q150">
        <v>7.9</v>
      </c>
      <c r="R150">
        <v>7.96</v>
      </c>
      <c r="S150">
        <v>8</v>
      </c>
      <c r="T150">
        <v>8.0299999999999994</v>
      </c>
      <c r="U150">
        <v>8.11</v>
      </c>
      <c r="V150">
        <v>8.02</v>
      </c>
      <c r="W150">
        <v>8.07</v>
      </c>
    </row>
    <row r="151" spans="1:23" x14ac:dyDescent="0.2">
      <c r="B151" t="s">
        <v>165</v>
      </c>
      <c r="C151">
        <v>7.967741935483871</v>
      </c>
      <c r="D151" s="16">
        <v>7.74</v>
      </c>
      <c r="E151" s="16">
        <v>7.92</v>
      </c>
      <c r="F151" s="16">
        <v>7.89</v>
      </c>
      <c r="G151" s="16">
        <v>8</v>
      </c>
      <c r="H151" s="16">
        <v>8</v>
      </c>
      <c r="I151" s="16">
        <v>7.95</v>
      </c>
      <c r="J151" s="16">
        <v>8.01</v>
      </c>
      <c r="K151" s="16">
        <v>8.0299999999999994</v>
      </c>
      <c r="L151" s="16">
        <v>8.01</v>
      </c>
      <c r="M151">
        <v>8</v>
      </c>
      <c r="N151">
        <v>8.0399999999999991</v>
      </c>
      <c r="O151">
        <v>7.86</v>
      </c>
      <c r="P151">
        <v>7.94</v>
      </c>
      <c r="Q151">
        <v>7.95</v>
      </c>
      <c r="R151">
        <v>7.83</v>
      </c>
      <c r="S151">
        <v>7.91</v>
      </c>
      <c r="T151">
        <v>8.0399999999999991</v>
      </c>
      <c r="U151">
        <v>8.19</v>
      </c>
      <c r="V151">
        <v>8.01</v>
      </c>
      <c r="W151">
        <v>8.08</v>
      </c>
    </row>
    <row r="152" spans="1:23" x14ac:dyDescent="0.2">
      <c r="B152" t="s">
        <v>166</v>
      </c>
      <c r="C152">
        <v>7.967741935483871</v>
      </c>
      <c r="D152" s="16">
        <v>7.85</v>
      </c>
      <c r="E152" s="16">
        <v>7.92</v>
      </c>
      <c r="F152" s="19"/>
      <c r="G152" s="16">
        <v>8.01</v>
      </c>
      <c r="H152" s="16">
        <v>8.02</v>
      </c>
      <c r="I152" s="16">
        <v>7.98</v>
      </c>
      <c r="J152" s="16">
        <v>8.0299999999999994</v>
      </c>
      <c r="K152" s="16">
        <v>7.92</v>
      </c>
      <c r="L152" s="16">
        <v>8.0299999999999994</v>
      </c>
      <c r="M152">
        <v>8.01</v>
      </c>
      <c r="N152">
        <v>8.07</v>
      </c>
      <c r="O152">
        <v>7.9</v>
      </c>
      <c r="P152">
        <v>7.87</v>
      </c>
      <c r="Q152">
        <v>7.98</v>
      </c>
      <c r="R152">
        <v>7.93</v>
      </c>
      <c r="S152">
        <v>7.95</v>
      </c>
      <c r="T152">
        <v>7.95</v>
      </c>
      <c r="U152">
        <v>8.1999999999999993</v>
      </c>
      <c r="V152">
        <v>7.48</v>
      </c>
      <c r="W152">
        <v>7.96</v>
      </c>
    </row>
    <row r="153" spans="1:23" x14ac:dyDescent="0.2">
      <c r="B153" t="s">
        <v>167</v>
      </c>
      <c r="C153">
        <v>7.967741935483871</v>
      </c>
      <c r="D153" s="16">
        <v>7.83</v>
      </c>
      <c r="E153" s="16">
        <v>7.94</v>
      </c>
      <c r="F153" s="16">
        <v>8</v>
      </c>
      <c r="G153" s="16">
        <v>8.02</v>
      </c>
      <c r="H153" s="16">
        <v>8.0299999999999994</v>
      </c>
      <c r="I153" s="16">
        <v>8</v>
      </c>
      <c r="J153" s="16">
        <v>8.06</v>
      </c>
      <c r="K153" s="16">
        <v>7.99</v>
      </c>
      <c r="L153" s="16">
        <v>8.0399999999999991</v>
      </c>
      <c r="M153">
        <v>8.0299999999999994</v>
      </c>
      <c r="N153">
        <v>8.09</v>
      </c>
      <c r="O153">
        <v>7.92</v>
      </c>
      <c r="P153">
        <v>7.88</v>
      </c>
      <c r="Q153">
        <v>8</v>
      </c>
      <c r="R153">
        <v>7.93</v>
      </c>
      <c r="S153">
        <v>7.98</v>
      </c>
      <c r="T153">
        <v>8.02</v>
      </c>
      <c r="U153">
        <v>6.8</v>
      </c>
      <c r="V153">
        <v>7.89</v>
      </c>
      <c r="W153">
        <v>8.0399999999999991</v>
      </c>
    </row>
    <row r="154" spans="1:23" x14ac:dyDescent="0.2">
      <c r="B154" t="s">
        <v>168</v>
      </c>
      <c r="C154">
        <v>7.967741935483871</v>
      </c>
      <c r="D154" s="16">
        <v>7.86</v>
      </c>
      <c r="E154" s="16">
        <v>7.92</v>
      </c>
      <c r="F154" s="16">
        <v>8.01</v>
      </c>
      <c r="G154" s="16">
        <v>8.0399999999999991</v>
      </c>
      <c r="H154" s="16">
        <v>8.0399999999999991</v>
      </c>
      <c r="I154" s="16">
        <v>8.01</v>
      </c>
      <c r="J154" s="16">
        <v>8.11</v>
      </c>
      <c r="K154" s="16">
        <v>7.99</v>
      </c>
      <c r="L154" s="16">
        <v>8.06</v>
      </c>
      <c r="M154">
        <v>8.06</v>
      </c>
      <c r="N154">
        <v>8.09</v>
      </c>
      <c r="O154">
        <v>8.01</v>
      </c>
      <c r="P154">
        <v>7.87</v>
      </c>
      <c r="Q154">
        <v>7.91</v>
      </c>
      <c r="R154">
        <v>7.94</v>
      </c>
      <c r="S154">
        <v>7.98</v>
      </c>
      <c r="T154">
        <v>8</v>
      </c>
      <c r="U154">
        <v>7.91</v>
      </c>
      <c r="V154">
        <v>7.95</v>
      </c>
      <c r="W154">
        <v>8.0500000000000007</v>
      </c>
    </row>
    <row r="155" spans="1:23" x14ac:dyDescent="0.2">
      <c r="B155" t="s">
        <v>169</v>
      </c>
      <c r="C155">
        <v>7.967741935483871</v>
      </c>
      <c r="D155" s="16">
        <v>7.84</v>
      </c>
      <c r="E155" s="16">
        <v>7.93</v>
      </c>
      <c r="F155" s="16">
        <v>8.01</v>
      </c>
      <c r="G155" s="16">
        <v>8.0399999999999991</v>
      </c>
      <c r="H155" s="16">
        <v>8.0299999999999994</v>
      </c>
      <c r="I155" s="16">
        <v>8.01</v>
      </c>
      <c r="J155" s="16">
        <v>8.0500000000000007</v>
      </c>
      <c r="K155" s="16">
        <v>8.02</v>
      </c>
      <c r="L155" s="16">
        <v>8.0500000000000007</v>
      </c>
      <c r="M155">
        <v>8.0299999999999994</v>
      </c>
      <c r="N155">
        <v>8.07</v>
      </c>
      <c r="O155">
        <v>7.97</v>
      </c>
      <c r="P155">
        <v>7.9</v>
      </c>
      <c r="Q155">
        <v>7.99</v>
      </c>
      <c r="R155">
        <v>7.94</v>
      </c>
      <c r="S155">
        <v>8</v>
      </c>
      <c r="T155">
        <v>8.02</v>
      </c>
      <c r="U155">
        <v>7.9</v>
      </c>
      <c r="V155">
        <v>7.98</v>
      </c>
      <c r="W155">
        <v>8.06</v>
      </c>
    </row>
    <row r="156" spans="1:23" x14ac:dyDescent="0.2">
      <c r="B156" t="s">
        <v>170</v>
      </c>
      <c r="C156">
        <v>8.01</v>
      </c>
      <c r="D156" s="16">
        <v>7.9</v>
      </c>
      <c r="E156" s="16">
        <v>7.92</v>
      </c>
      <c r="F156" s="16">
        <v>8.06</v>
      </c>
      <c r="G156" s="16">
        <v>8.1</v>
      </c>
      <c r="H156" s="16">
        <v>8.18</v>
      </c>
      <c r="I156" s="16">
        <v>8.09</v>
      </c>
      <c r="J156" s="16">
        <v>8.15</v>
      </c>
      <c r="K156" s="16">
        <v>8.0299999999999994</v>
      </c>
      <c r="L156" s="16">
        <v>8.07</v>
      </c>
      <c r="M156">
        <v>8.18</v>
      </c>
      <c r="N156">
        <v>8.5299999999999994</v>
      </c>
      <c r="O156">
        <v>7.79</v>
      </c>
      <c r="P156">
        <v>7.89</v>
      </c>
      <c r="Q156">
        <v>7.99</v>
      </c>
      <c r="R156">
        <v>7.96</v>
      </c>
      <c r="S156">
        <v>8.01</v>
      </c>
      <c r="T156">
        <v>8</v>
      </c>
      <c r="U156">
        <v>7.94</v>
      </c>
      <c r="V156">
        <v>7.96</v>
      </c>
      <c r="W156">
        <v>8.06</v>
      </c>
    </row>
    <row r="157" spans="1:23" x14ac:dyDescent="0.2">
      <c r="B157" t="s">
        <v>171</v>
      </c>
      <c r="C157">
        <v>8.01</v>
      </c>
      <c r="D157" s="16">
        <v>7.83</v>
      </c>
      <c r="E157" s="16">
        <v>7.93</v>
      </c>
      <c r="F157" s="16">
        <v>8.01</v>
      </c>
      <c r="G157" s="16">
        <v>8.0500000000000007</v>
      </c>
      <c r="H157" s="16">
        <v>8.0500000000000007</v>
      </c>
      <c r="I157" s="16">
        <v>8</v>
      </c>
      <c r="J157" s="16">
        <v>8.06</v>
      </c>
      <c r="K157" s="16">
        <v>8.0399999999999991</v>
      </c>
      <c r="L157" s="16">
        <v>8.0299999999999994</v>
      </c>
      <c r="M157">
        <v>8.08</v>
      </c>
      <c r="N157">
        <v>8.11</v>
      </c>
      <c r="O157">
        <v>8</v>
      </c>
      <c r="P157">
        <v>7.93</v>
      </c>
      <c r="Q157">
        <v>8.0500000000000007</v>
      </c>
      <c r="R157">
        <v>7.93</v>
      </c>
      <c r="S157">
        <v>8.02</v>
      </c>
      <c r="T157">
        <v>8</v>
      </c>
      <c r="U157">
        <v>8.0399999999999991</v>
      </c>
      <c r="V157">
        <v>7.96</v>
      </c>
      <c r="W157">
        <v>8.06</v>
      </c>
    </row>
    <row r="160" spans="1:23" x14ac:dyDescent="0.2">
      <c r="A160" t="s">
        <v>84</v>
      </c>
      <c r="C160">
        <v>0</v>
      </c>
      <c r="D160">
        <v>1</v>
      </c>
      <c r="E160">
        <v>2</v>
      </c>
      <c r="F160">
        <v>3</v>
      </c>
      <c r="G160">
        <v>6</v>
      </c>
      <c r="H160">
        <v>9</v>
      </c>
      <c r="I160">
        <v>12</v>
      </c>
      <c r="J160">
        <v>15</v>
      </c>
      <c r="K160">
        <v>16</v>
      </c>
      <c r="L160">
        <v>17</v>
      </c>
      <c r="M160">
        <v>18</v>
      </c>
      <c r="N160">
        <v>21</v>
      </c>
      <c r="O160">
        <v>24</v>
      </c>
      <c r="P160">
        <v>27</v>
      </c>
      <c r="Q160">
        <v>30</v>
      </c>
      <c r="R160">
        <v>31</v>
      </c>
      <c r="S160">
        <v>32</v>
      </c>
      <c r="T160">
        <v>33</v>
      </c>
      <c r="U160">
        <v>36</v>
      </c>
      <c r="V160">
        <v>39</v>
      </c>
      <c r="W160">
        <v>42</v>
      </c>
    </row>
    <row r="161" spans="1:23" x14ac:dyDescent="0.2">
      <c r="B161" t="s">
        <v>65</v>
      </c>
      <c r="C161">
        <v>0.62032258064516133</v>
      </c>
      <c r="D161" s="18"/>
      <c r="E161">
        <v>0.628</v>
      </c>
      <c r="F161">
        <v>0.626</v>
      </c>
      <c r="G161">
        <v>0.65800000000000003</v>
      </c>
      <c r="H161">
        <v>0.63749999999999996</v>
      </c>
      <c r="I161">
        <v>0.63600000000000001</v>
      </c>
      <c r="J161">
        <v>0.65599999999999992</v>
      </c>
      <c r="K161">
        <v>0.62</v>
      </c>
      <c r="L161">
        <v>0.65600000000000003</v>
      </c>
      <c r="M161">
        <v>0.66200000000000003</v>
      </c>
      <c r="N161">
        <v>0.66800000000000004</v>
      </c>
      <c r="O161">
        <v>0.65800000000000003</v>
      </c>
      <c r="P161">
        <v>0.67600000000000005</v>
      </c>
      <c r="Q161">
        <v>0.65200000000000002</v>
      </c>
      <c r="R161">
        <v>0.63</v>
      </c>
      <c r="S161">
        <v>0.65</v>
      </c>
      <c r="T161">
        <v>0.65400000000000014</v>
      </c>
      <c r="U161">
        <v>0.65199999999999991</v>
      </c>
      <c r="V161">
        <v>0.65800000000000003</v>
      </c>
      <c r="W161">
        <v>0.65800000000000014</v>
      </c>
    </row>
    <row r="162" spans="1:23" x14ac:dyDescent="0.2">
      <c r="B162" t="s">
        <v>43</v>
      </c>
      <c r="C162">
        <v>0.62032258064516133</v>
      </c>
      <c r="E162">
        <v>0.51</v>
      </c>
      <c r="F162">
        <v>0.63200000000000001</v>
      </c>
      <c r="G162">
        <v>0.66600000000000015</v>
      </c>
      <c r="H162">
        <v>0.49800000000000005</v>
      </c>
      <c r="I162">
        <v>0.54400000000000004</v>
      </c>
      <c r="J162">
        <v>0.66400000000000003</v>
      </c>
      <c r="K162">
        <v>0.55800000000000005</v>
      </c>
      <c r="L162">
        <v>0.62</v>
      </c>
      <c r="M162">
        <v>0.66399999999999992</v>
      </c>
      <c r="N162">
        <v>0.65600000000000003</v>
      </c>
      <c r="O162">
        <v>0.65400000000000003</v>
      </c>
      <c r="P162">
        <v>0.66400000000000003</v>
      </c>
      <c r="Q162">
        <v>0.63200000000000001</v>
      </c>
      <c r="R162">
        <v>0.65200000000000002</v>
      </c>
      <c r="S162">
        <v>0.63800000000000012</v>
      </c>
      <c r="T162">
        <v>0.64200000000000002</v>
      </c>
      <c r="U162">
        <v>0.59199999999999997</v>
      </c>
      <c r="V162">
        <v>0.63800000000000001</v>
      </c>
      <c r="W162">
        <v>0.63800000000000001</v>
      </c>
    </row>
    <row r="163" spans="1:23" x14ac:dyDescent="0.2">
      <c r="B163" t="s">
        <v>172</v>
      </c>
      <c r="C163">
        <v>0.63</v>
      </c>
      <c r="D163" s="18"/>
      <c r="E163">
        <v>0.63</v>
      </c>
      <c r="F163">
        <v>0.65</v>
      </c>
      <c r="G163">
        <v>0.68</v>
      </c>
      <c r="H163">
        <v>0.64</v>
      </c>
      <c r="I163">
        <v>0.64</v>
      </c>
      <c r="J163">
        <v>0.67</v>
      </c>
      <c r="K163">
        <v>0.66</v>
      </c>
      <c r="L163">
        <v>0.67</v>
      </c>
      <c r="M163">
        <v>0.67</v>
      </c>
      <c r="N163">
        <v>0.64</v>
      </c>
      <c r="O163">
        <v>0.66</v>
      </c>
      <c r="P163">
        <v>0.67</v>
      </c>
      <c r="Q163">
        <v>0.65</v>
      </c>
      <c r="R163">
        <v>0.6</v>
      </c>
      <c r="S163">
        <v>0.69</v>
      </c>
      <c r="T163">
        <v>0.66</v>
      </c>
      <c r="U163">
        <v>0.62</v>
      </c>
      <c r="V163">
        <v>0.65</v>
      </c>
      <c r="W163">
        <v>0.63</v>
      </c>
    </row>
    <row r="164" spans="1:23" x14ac:dyDescent="0.2">
      <c r="B164" t="s">
        <v>173</v>
      </c>
      <c r="C164">
        <v>0.63</v>
      </c>
      <c r="D164" s="18"/>
      <c r="E164" s="18"/>
      <c r="F164">
        <v>0.63</v>
      </c>
      <c r="G164">
        <v>0.7</v>
      </c>
      <c r="H164">
        <v>0.64</v>
      </c>
      <c r="I164">
        <v>0.61</v>
      </c>
      <c r="J164">
        <v>0.65</v>
      </c>
      <c r="K164">
        <v>0.63</v>
      </c>
      <c r="L164">
        <v>0.64</v>
      </c>
      <c r="M164">
        <v>0.68</v>
      </c>
      <c r="N164">
        <v>0.67</v>
      </c>
      <c r="O164">
        <v>0.67</v>
      </c>
      <c r="P164">
        <v>0.68</v>
      </c>
      <c r="Q164">
        <v>0.66</v>
      </c>
      <c r="R164">
        <v>0.64</v>
      </c>
      <c r="S164">
        <v>0.66</v>
      </c>
      <c r="T164">
        <v>0.66</v>
      </c>
      <c r="U164">
        <v>0.65</v>
      </c>
      <c r="V164">
        <v>0.67</v>
      </c>
      <c r="W164">
        <v>0.65</v>
      </c>
    </row>
    <row r="166" spans="1:23" x14ac:dyDescent="0.2">
      <c r="C166">
        <v>0</v>
      </c>
      <c r="D166">
        <v>2.5495097567963903E-2</v>
      </c>
      <c r="E166">
        <v>1.6431676725154998E-2</v>
      </c>
      <c r="F166">
        <v>1.6733200530681527E-2</v>
      </c>
      <c r="G166">
        <v>8.3666002653407633E-3</v>
      </c>
      <c r="H166">
        <v>1.5000000000000012E-2</v>
      </c>
      <c r="I166">
        <v>5.4772255750516656E-3</v>
      </c>
      <c r="J166">
        <v>8.9442719099991665E-3</v>
      </c>
      <c r="K166">
        <v>3.1622776601683819E-2</v>
      </c>
      <c r="L166">
        <v>5.4772255750516656E-3</v>
      </c>
      <c r="M166">
        <v>4.4721359549995841E-3</v>
      </c>
      <c r="N166">
        <v>1.3038404810405309E-2</v>
      </c>
      <c r="O166">
        <v>1.0954451150103331E-2</v>
      </c>
      <c r="P166">
        <v>5.4772255750516665E-3</v>
      </c>
      <c r="Q166">
        <v>8.3666002653407633E-3</v>
      </c>
      <c r="R166">
        <v>2.4494897427831803E-2</v>
      </c>
      <c r="S166">
        <v>2.5495097567963948E-2</v>
      </c>
      <c r="T166">
        <v>8.9442719099991682E-3</v>
      </c>
      <c r="U166">
        <v>4.4721359549995841E-3</v>
      </c>
      <c r="V166">
        <v>1.6431676725154998E-2</v>
      </c>
      <c r="W166">
        <v>4.4721359549995841E-3</v>
      </c>
    </row>
    <row r="167" spans="1:23" x14ac:dyDescent="0.2">
      <c r="C167">
        <v>0</v>
      </c>
      <c r="D167">
        <v>3.6469165057620948E-2</v>
      </c>
      <c r="E167">
        <v>1.8708286933869722E-2</v>
      </c>
      <c r="F167">
        <v>1.923538406167136E-2</v>
      </c>
      <c r="G167">
        <v>1.3416407864998751E-2</v>
      </c>
      <c r="H167">
        <v>5.7619441163551645E-2</v>
      </c>
      <c r="I167">
        <v>2.7018512172212589E-2</v>
      </c>
      <c r="J167">
        <v>1.1401754250991391E-2</v>
      </c>
      <c r="K167">
        <v>3.4205262752974114E-2</v>
      </c>
      <c r="L167">
        <v>2.5495097567963948E-2</v>
      </c>
      <c r="M167">
        <v>5.4772255750516656E-3</v>
      </c>
      <c r="N167">
        <v>1.8165902124584965E-2</v>
      </c>
      <c r="O167">
        <v>1.341640786499875E-2</v>
      </c>
      <c r="P167">
        <v>1.341640786499875E-2</v>
      </c>
      <c r="Q167">
        <v>2.2803508501982778E-2</v>
      </c>
      <c r="R167">
        <v>1.923538406167136E-2</v>
      </c>
      <c r="S167">
        <v>1.9235384061671364E-2</v>
      </c>
      <c r="T167">
        <v>1.6431676725154998E-2</v>
      </c>
      <c r="U167">
        <v>6.2209324059983161E-2</v>
      </c>
      <c r="V167">
        <v>1.7888543819998333E-2</v>
      </c>
      <c r="W167">
        <v>4.4721359549995832E-3</v>
      </c>
    </row>
    <row r="168" spans="1:23" x14ac:dyDescent="0.2">
      <c r="A168" t="s">
        <v>85</v>
      </c>
    </row>
    <row r="169" spans="1:23" x14ac:dyDescent="0.2">
      <c r="B169" t="s">
        <v>65</v>
      </c>
      <c r="C169">
        <v>7.9677419354838701</v>
      </c>
      <c r="D169">
        <v>7.8920000000000003</v>
      </c>
      <c r="E169">
        <v>7.9179999999999993</v>
      </c>
      <c r="F169">
        <v>8.0360000000000014</v>
      </c>
      <c r="G169">
        <v>8.1799999999999979</v>
      </c>
      <c r="H169">
        <v>8.07</v>
      </c>
      <c r="I169">
        <v>8.0739999999999998</v>
      </c>
      <c r="J169">
        <v>8.1719999999999988</v>
      </c>
      <c r="K169">
        <v>7.9859999999999998</v>
      </c>
      <c r="L169">
        <v>8.0239999999999991</v>
      </c>
      <c r="M169">
        <v>8.1639999999999979</v>
      </c>
      <c r="N169">
        <v>8.2080000000000002</v>
      </c>
      <c r="O169">
        <v>7.9700000000000006</v>
      </c>
      <c r="P169">
        <v>7.8960000000000008</v>
      </c>
      <c r="Q169">
        <v>7.9240000000000013</v>
      </c>
      <c r="R169">
        <v>7.9359999999999999</v>
      </c>
      <c r="S169">
        <v>7.9799999999999995</v>
      </c>
      <c r="T169">
        <v>8.0140000000000011</v>
      </c>
      <c r="U169">
        <v>8.1159999999999997</v>
      </c>
      <c r="V169">
        <v>7.9240000000000013</v>
      </c>
      <c r="W169">
        <v>7.9980000000000002</v>
      </c>
    </row>
    <row r="170" spans="1:23" x14ac:dyDescent="0.2">
      <c r="B170" t="s">
        <v>43</v>
      </c>
      <c r="C170">
        <v>7.9677419354838701</v>
      </c>
      <c r="D170">
        <v>7.8240000000000007</v>
      </c>
      <c r="E170">
        <v>7.9260000000000002</v>
      </c>
      <c r="F170" s="16">
        <v>7.9774999999999991</v>
      </c>
      <c r="G170">
        <v>8.0219999999999985</v>
      </c>
      <c r="H170">
        <v>8.0239999999999991</v>
      </c>
      <c r="I170">
        <v>7.9899999999999993</v>
      </c>
      <c r="J170">
        <v>8.0520000000000014</v>
      </c>
      <c r="K170">
        <v>7.99</v>
      </c>
      <c r="L170">
        <v>8.0380000000000003</v>
      </c>
      <c r="M170">
        <v>8.0259999999999998</v>
      </c>
      <c r="N170">
        <v>8.0719999999999992</v>
      </c>
      <c r="O170">
        <v>7.9319999999999995</v>
      </c>
      <c r="P170">
        <v>7.8920000000000003</v>
      </c>
      <c r="Q170">
        <v>7.9659999999999993</v>
      </c>
      <c r="R170">
        <v>7.9139999999999997</v>
      </c>
      <c r="S170">
        <v>7.9640000000000004</v>
      </c>
      <c r="T170">
        <v>8.0060000000000002</v>
      </c>
      <c r="U170">
        <v>7.8</v>
      </c>
      <c r="V170">
        <v>7.8620000000000001</v>
      </c>
      <c r="W170">
        <v>8.0380000000000003</v>
      </c>
    </row>
    <row r="171" spans="1:23" x14ac:dyDescent="0.2">
      <c r="B171" t="s">
        <v>172</v>
      </c>
      <c r="C171">
        <v>8.01</v>
      </c>
      <c r="D171">
        <v>7.9</v>
      </c>
      <c r="E171">
        <v>7.92</v>
      </c>
      <c r="F171">
        <v>8.06</v>
      </c>
      <c r="G171">
        <v>8.1</v>
      </c>
      <c r="H171">
        <v>8.18</v>
      </c>
      <c r="I171">
        <v>8.09</v>
      </c>
      <c r="J171">
        <v>8.15</v>
      </c>
      <c r="K171">
        <v>8.0299999999999994</v>
      </c>
      <c r="L171">
        <v>8.07</v>
      </c>
      <c r="M171">
        <v>8.18</v>
      </c>
      <c r="N171">
        <v>8.5299999999999994</v>
      </c>
      <c r="O171">
        <v>7.79</v>
      </c>
      <c r="P171">
        <v>7.89</v>
      </c>
      <c r="Q171">
        <v>7.99</v>
      </c>
      <c r="R171">
        <v>7.96</v>
      </c>
      <c r="S171">
        <v>8.01</v>
      </c>
      <c r="T171">
        <v>8</v>
      </c>
      <c r="U171">
        <v>7.94</v>
      </c>
      <c r="V171">
        <v>7.96</v>
      </c>
      <c r="W171">
        <v>8.06</v>
      </c>
    </row>
    <row r="172" spans="1:23" x14ac:dyDescent="0.2">
      <c r="B172" t="s">
        <v>173</v>
      </c>
      <c r="C172">
        <v>8.01</v>
      </c>
      <c r="D172">
        <v>7.83</v>
      </c>
      <c r="E172">
        <v>7.93</v>
      </c>
      <c r="F172">
        <v>8.01</v>
      </c>
      <c r="G172">
        <v>8.0500000000000007</v>
      </c>
      <c r="H172">
        <v>8.0500000000000007</v>
      </c>
      <c r="I172">
        <v>8</v>
      </c>
      <c r="J172">
        <v>8.06</v>
      </c>
      <c r="K172">
        <v>8.0399999999999991</v>
      </c>
      <c r="L172">
        <v>8.0299999999999994</v>
      </c>
      <c r="M172">
        <v>8.08</v>
      </c>
      <c r="N172">
        <v>8.11</v>
      </c>
      <c r="O172">
        <v>8</v>
      </c>
      <c r="P172">
        <v>7.93</v>
      </c>
      <c r="Q172">
        <v>8.0500000000000007</v>
      </c>
      <c r="R172">
        <v>7.93</v>
      </c>
      <c r="S172">
        <v>8.02</v>
      </c>
      <c r="T172">
        <v>8</v>
      </c>
      <c r="U172">
        <v>8.0399999999999991</v>
      </c>
      <c r="V172">
        <v>7.96</v>
      </c>
      <c r="W172">
        <v>8.06</v>
      </c>
    </row>
    <row r="174" spans="1:23" x14ac:dyDescent="0.2">
      <c r="C174">
        <v>9.9301366129890925E-16</v>
      </c>
      <c r="D174">
        <v>2.5884358211089413E-2</v>
      </c>
      <c r="E174">
        <v>1.9235384061671305E-2</v>
      </c>
      <c r="F174">
        <v>2.9664793948382947E-2</v>
      </c>
      <c r="G174">
        <v>1.5811388300841559E-2</v>
      </c>
      <c r="H174">
        <v>3.7416573867739208E-2</v>
      </c>
      <c r="I174">
        <v>2.880972058177593E-2</v>
      </c>
      <c r="J174">
        <v>4.6043457732885526E-2</v>
      </c>
      <c r="K174">
        <v>3.3615472627943246E-2</v>
      </c>
      <c r="L174">
        <v>1.8165902124584563E-2</v>
      </c>
      <c r="M174">
        <v>4.979959839195524E-2</v>
      </c>
      <c r="N174">
        <v>4.6043457732885297E-2</v>
      </c>
      <c r="O174">
        <v>3.2403703492039367E-2</v>
      </c>
      <c r="P174">
        <v>3.0495901363953613E-2</v>
      </c>
      <c r="Q174">
        <v>4.5607017003965564E-2</v>
      </c>
      <c r="R174">
        <v>3.0495901363953949E-2</v>
      </c>
      <c r="S174">
        <v>2.5495097567963816E-2</v>
      </c>
      <c r="T174">
        <v>4.979959839195526E-2</v>
      </c>
      <c r="U174">
        <v>6.503845016603646E-2</v>
      </c>
      <c r="V174">
        <v>7.8294316524253407E-2</v>
      </c>
      <c r="W174">
        <v>0.14166862743741118</v>
      </c>
    </row>
    <row r="175" spans="1:23" x14ac:dyDescent="0.2">
      <c r="C175">
        <v>9.9301366129890925E-16</v>
      </c>
      <c r="D175">
        <v>4.8270073544588586E-2</v>
      </c>
      <c r="E175">
        <v>8.9442719099993157E-3</v>
      </c>
      <c r="F175">
        <v>5.8523499553598209E-2</v>
      </c>
      <c r="G175">
        <v>1.7888543819997937E-2</v>
      </c>
      <c r="H175">
        <v>1.5165750888102777E-2</v>
      </c>
      <c r="I175">
        <v>2.5495097567963729E-2</v>
      </c>
      <c r="J175">
        <v>3.7682887362833498E-2</v>
      </c>
      <c r="K175">
        <v>4.3011626335212938E-2</v>
      </c>
      <c r="L175">
        <v>1.9235384061671721E-2</v>
      </c>
      <c r="M175">
        <v>2.3021728866442839E-2</v>
      </c>
      <c r="N175">
        <v>2.0493901531919455E-2</v>
      </c>
      <c r="O175">
        <v>5.890670590009231E-2</v>
      </c>
      <c r="P175">
        <v>2.9495762407505403E-2</v>
      </c>
      <c r="Q175">
        <v>3.6469165057620941E-2</v>
      </c>
      <c r="R175">
        <v>4.7222875812470408E-2</v>
      </c>
      <c r="S175">
        <v>3.5071355833500392E-2</v>
      </c>
      <c r="T175">
        <v>3.4351128074634966E-2</v>
      </c>
      <c r="U175">
        <v>0.57753787754570685</v>
      </c>
      <c r="V175">
        <v>0.21810547906918781</v>
      </c>
      <c r="W175">
        <v>4.6043457732885477E-2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CAEFD-A86B-FA4A-A461-97AE60686C16}">
  <dimension ref="A1"/>
  <sheetViews>
    <sheetView workbookViewId="0">
      <selection activeCell="I34" sqref="I34"/>
    </sheetView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B5CF-C0C9-6141-A4F3-EBADF7AAAF69}">
  <dimension ref="A1:M49"/>
  <sheetViews>
    <sheetView topLeftCell="A31" workbookViewId="0">
      <selection activeCell="J15" sqref="J15"/>
    </sheetView>
  </sheetViews>
  <sheetFormatPr baseColWidth="10" defaultRowHeight="16" x14ac:dyDescent="0.2"/>
  <sheetData>
    <row r="1" spans="1:13" x14ac:dyDescent="0.2">
      <c r="A1" t="s">
        <v>52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</row>
    <row r="2" spans="1:13" x14ac:dyDescent="0.2">
      <c r="B2" t="s">
        <v>81</v>
      </c>
      <c r="C2">
        <v>-0.59283080385553655</v>
      </c>
      <c r="D2">
        <v>0.75587701617688574</v>
      </c>
      <c r="E2">
        <v>1.6818929870646087</v>
      </c>
      <c r="G2" s="13"/>
      <c r="I2" t="s">
        <v>81</v>
      </c>
      <c r="J2" t="e">
        <f>#REF!</f>
        <v>#REF!</v>
      </c>
      <c r="K2" t="e">
        <f t="shared" ref="K2:L2" si="0">#REF!</f>
        <v>#REF!</v>
      </c>
      <c r="L2" t="e">
        <f t="shared" si="0"/>
        <v>#REF!</v>
      </c>
      <c r="M2" s="13"/>
    </row>
    <row r="3" spans="1:13" x14ac:dyDescent="0.2">
      <c r="B3" t="s">
        <v>82</v>
      </c>
      <c r="C3">
        <v>-0.74259329364118898</v>
      </c>
      <c r="D3">
        <v>0.28449403403188755</v>
      </c>
      <c r="E3">
        <v>1.3701132103745888</v>
      </c>
      <c r="G3" s="13"/>
      <c r="I3" t="s">
        <v>82</v>
      </c>
      <c r="J3" t="e">
        <f>#REF!</f>
        <v>#REF!</v>
      </c>
      <c r="K3" t="e">
        <f t="shared" ref="K3:L3" si="1">#REF!</f>
        <v>#REF!</v>
      </c>
      <c r="L3" t="e">
        <f t="shared" si="1"/>
        <v>#REF!</v>
      </c>
      <c r="M3" s="13"/>
    </row>
    <row r="4" spans="1:13" x14ac:dyDescent="0.2">
      <c r="B4" t="s">
        <v>83</v>
      </c>
      <c r="C4">
        <v>0.97141355232153592</v>
      </c>
      <c r="D4">
        <v>0.99282293210675199</v>
      </c>
      <c r="E4">
        <v>1.3368433847630512</v>
      </c>
      <c r="G4" s="13"/>
      <c r="I4" t="s">
        <v>83</v>
      </c>
      <c r="J4" t="e">
        <f>#REF!</f>
        <v>#REF!</v>
      </c>
      <c r="K4" t="e">
        <f t="shared" ref="K4:L4" si="2">#REF!</f>
        <v>#REF!</v>
      </c>
      <c r="L4" t="e">
        <f t="shared" si="2"/>
        <v>#REF!</v>
      </c>
      <c r="M4" s="13"/>
    </row>
    <row r="5" spans="1:13" x14ac:dyDescent="0.2">
      <c r="G5" s="13"/>
      <c r="M5" s="13"/>
    </row>
    <row r="6" spans="1:13" x14ac:dyDescent="0.2">
      <c r="C6">
        <v>0.32466224477884109</v>
      </c>
      <c r="D6">
        <v>0.38578956049586027</v>
      </c>
      <c r="E6">
        <v>0.26476617967353056</v>
      </c>
      <c r="G6" s="13"/>
      <c r="J6" t="e">
        <f>#REF!</f>
        <v>#REF!</v>
      </c>
      <c r="K6" t="e">
        <f t="shared" ref="K6:L6" si="3">#REF!</f>
        <v>#REF!</v>
      </c>
      <c r="L6" t="e">
        <f t="shared" si="3"/>
        <v>#REF!</v>
      </c>
      <c r="M6" s="13"/>
    </row>
    <row r="7" spans="1:13" x14ac:dyDescent="0.2">
      <c r="C7">
        <v>0.73052998349499376</v>
      </c>
      <c r="D7">
        <v>0.79192913010422927</v>
      </c>
      <c r="E7">
        <v>0.64858785891991799</v>
      </c>
      <c r="G7" s="13"/>
      <c r="J7" t="e">
        <f>#REF!</f>
        <v>#REF!</v>
      </c>
      <c r="K7" t="e">
        <f t="shared" ref="K7:L7" si="4">#REF!</f>
        <v>#REF!</v>
      </c>
      <c r="L7" t="e">
        <f t="shared" si="4"/>
        <v>#REF!</v>
      </c>
      <c r="M7" s="13"/>
    </row>
    <row r="8" spans="1:13" x14ac:dyDescent="0.2">
      <c r="C8">
        <v>0.37415407228047104</v>
      </c>
      <c r="D8">
        <v>0.12342607280374601</v>
      </c>
      <c r="E8">
        <v>0.13236112797142474</v>
      </c>
      <c r="G8" s="13"/>
      <c r="J8" t="e">
        <f>#REF!</f>
        <v>#REF!</v>
      </c>
      <c r="K8" t="e">
        <f t="shared" ref="K8:L8" si="5">#REF!</f>
        <v>#REF!</v>
      </c>
      <c r="L8" t="e">
        <f t="shared" si="5"/>
        <v>#REF!</v>
      </c>
      <c r="M8" s="13"/>
    </row>
    <row r="9" spans="1:13" x14ac:dyDescent="0.2">
      <c r="B9" t="s">
        <v>84</v>
      </c>
      <c r="G9" s="13"/>
      <c r="I9" t="s">
        <v>84</v>
      </c>
      <c r="M9" s="13"/>
    </row>
    <row r="10" spans="1:13" x14ac:dyDescent="0.2">
      <c r="B10" t="s">
        <v>81</v>
      </c>
      <c r="C10">
        <v>0.64818181818181841</v>
      </c>
      <c r="E10">
        <v>0.59599999999999997</v>
      </c>
      <c r="F10">
        <v>0.63200000000000001</v>
      </c>
      <c r="G10" s="13"/>
      <c r="I10" t="s">
        <v>81</v>
      </c>
      <c r="J10">
        <v>0.62032258064516133</v>
      </c>
      <c r="L10">
        <v>0.51</v>
      </c>
      <c r="M10" s="13">
        <v>0.63200000000000001</v>
      </c>
    </row>
    <row r="11" spans="1:13" x14ac:dyDescent="0.2">
      <c r="B11" t="s">
        <v>82</v>
      </c>
      <c r="C11">
        <v>0.60399999999999987</v>
      </c>
      <c r="F11">
        <v>0.61333333333333329</v>
      </c>
      <c r="G11" s="13"/>
      <c r="I11" t="s">
        <v>82</v>
      </c>
      <c r="J11">
        <v>0.66400000000000003</v>
      </c>
      <c r="K11">
        <v>0.55800000000000005</v>
      </c>
      <c r="L11">
        <v>0.62</v>
      </c>
      <c r="M11" s="13">
        <v>0.66399999999999992</v>
      </c>
    </row>
    <row r="12" spans="1:13" x14ac:dyDescent="0.2">
      <c r="B12" t="s">
        <v>83</v>
      </c>
      <c r="C12">
        <v>0.65200000000000002</v>
      </c>
      <c r="D12">
        <v>0.59399999999999997</v>
      </c>
      <c r="E12">
        <v>0.63600000000000001</v>
      </c>
      <c r="F12">
        <v>0.64400000000000002</v>
      </c>
      <c r="G12" s="13"/>
      <c r="I12" t="s">
        <v>83</v>
      </c>
      <c r="J12">
        <v>0.63200000000000001</v>
      </c>
      <c r="K12">
        <v>0.65200000000000002</v>
      </c>
      <c r="L12">
        <v>0.63800000000000012</v>
      </c>
      <c r="M12" s="13">
        <v>0.64200000000000002</v>
      </c>
    </row>
    <row r="13" spans="1:13" x14ac:dyDescent="0.2">
      <c r="G13" s="13"/>
      <c r="M13" s="13"/>
    </row>
    <row r="14" spans="1:13" x14ac:dyDescent="0.2">
      <c r="C14">
        <v>0</v>
      </c>
      <c r="E14">
        <v>1.1401754250991391E-2</v>
      </c>
      <c r="F14">
        <v>1.3038404810405309E-2</v>
      </c>
      <c r="G14" s="13"/>
      <c r="J14">
        <v>0</v>
      </c>
      <c r="L14">
        <v>1.8708286933869722E-2</v>
      </c>
      <c r="M14" s="13">
        <v>1.923538406167136E-2</v>
      </c>
    </row>
    <row r="15" spans="1:13" x14ac:dyDescent="0.2">
      <c r="C15">
        <v>2.1908902300206663E-2</v>
      </c>
      <c r="F15">
        <v>2.0816659994661344E-2</v>
      </c>
      <c r="G15" s="13"/>
      <c r="J15">
        <v>1.1401754250991391E-2</v>
      </c>
      <c r="K15">
        <v>3.4205262752974114E-2</v>
      </c>
      <c r="L15">
        <v>2.5495097567963948E-2</v>
      </c>
      <c r="M15" s="13">
        <v>5.4772255750516656E-3</v>
      </c>
    </row>
    <row r="16" spans="1:13" x14ac:dyDescent="0.2">
      <c r="C16">
        <v>1.3038404810405309E-2</v>
      </c>
      <c r="D16">
        <v>2.073644135332774E-2</v>
      </c>
      <c r="E16">
        <v>1.1401754250991389E-2</v>
      </c>
      <c r="F16">
        <v>1.1401754250991391E-2</v>
      </c>
      <c r="G16" s="13"/>
      <c r="J16">
        <v>2.2803508501982778E-2</v>
      </c>
      <c r="K16">
        <v>1.923538406167136E-2</v>
      </c>
      <c r="L16">
        <v>1.9235384061671364E-2</v>
      </c>
      <c r="M16" s="13">
        <v>1.6431676725154998E-2</v>
      </c>
    </row>
    <row r="17" spans="2:13" x14ac:dyDescent="0.2">
      <c r="B17" t="s">
        <v>85</v>
      </c>
      <c r="G17" s="13"/>
      <c r="I17" t="s">
        <v>85</v>
      </c>
      <c r="M17" s="13"/>
    </row>
    <row r="18" spans="2:13" x14ac:dyDescent="0.2">
      <c r="B18" t="s">
        <v>81</v>
      </c>
      <c r="C18">
        <v>7.7169696969696986</v>
      </c>
      <c r="D18">
        <v>7.9540000000000006</v>
      </c>
      <c r="E18">
        <v>7.8280000000000003</v>
      </c>
      <c r="F18">
        <v>7.9859999999999998</v>
      </c>
      <c r="G18" s="13"/>
      <c r="I18" t="s">
        <v>81</v>
      </c>
      <c r="J18">
        <v>7.9677419354838701</v>
      </c>
      <c r="K18">
        <v>7.8240000000000007</v>
      </c>
      <c r="L18">
        <v>7.9260000000000002</v>
      </c>
      <c r="M18" s="13">
        <v>7.9774999999999991</v>
      </c>
    </row>
    <row r="19" spans="2:13" x14ac:dyDescent="0.2">
      <c r="B19" t="s">
        <v>82</v>
      </c>
      <c r="C19">
        <v>8.0479999999999983</v>
      </c>
      <c r="D19">
        <v>7.9139999999999997</v>
      </c>
      <c r="E19">
        <v>7.9659999999999993</v>
      </c>
      <c r="F19">
        <v>7.8179999999999996</v>
      </c>
      <c r="G19" s="13"/>
      <c r="I19" t="s">
        <v>82</v>
      </c>
      <c r="J19">
        <v>8.0520000000000014</v>
      </c>
      <c r="K19">
        <v>7.99</v>
      </c>
      <c r="L19">
        <v>8.0380000000000003</v>
      </c>
      <c r="M19" s="13">
        <v>8.0259999999999998</v>
      </c>
    </row>
    <row r="20" spans="2:13" x14ac:dyDescent="0.2">
      <c r="B20" t="s">
        <v>83</v>
      </c>
      <c r="C20">
        <v>7.992</v>
      </c>
      <c r="D20">
        <v>7.7900000000000009</v>
      </c>
      <c r="E20">
        <v>7.9960000000000004</v>
      </c>
      <c r="F20">
        <v>8.032</v>
      </c>
      <c r="G20" s="13"/>
      <c r="I20" t="s">
        <v>83</v>
      </c>
      <c r="J20">
        <v>7.9659999999999993</v>
      </c>
      <c r="K20">
        <v>7.9139999999999997</v>
      </c>
      <c r="L20">
        <v>7.9640000000000004</v>
      </c>
      <c r="M20" s="13">
        <v>8.0060000000000002</v>
      </c>
    </row>
    <row r="21" spans="2:13" x14ac:dyDescent="0.2">
      <c r="G21" s="13"/>
      <c r="M21" s="13"/>
    </row>
    <row r="22" spans="2:13" x14ac:dyDescent="0.2">
      <c r="C22">
        <v>0</v>
      </c>
      <c r="D22">
        <v>1.1401754250991138E-2</v>
      </c>
      <c r="E22">
        <v>1.9235384061671256E-2</v>
      </c>
      <c r="F22">
        <v>3.1304951684996689E-2</v>
      </c>
      <c r="G22" s="13"/>
      <c r="J22">
        <v>9.9301366129890925E-16</v>
      </c>
      <c r="K22">
        <v>4.8270073544588586E-2</v>
      </c>
      <c r="L22">
        <v>8.9442719099993157E-3</v>
      </c>
      <c r="M22" s="13">
        <v>5.8523499553598209E-2</v>
      </c>
    </row>
    <row r="23" spans="2:13" x14ac:dyDescent="0.2">
      <c r="C23">
        <v>8.366600265341426E-3</v>
      </c>
      <c r="D23">
        <v>1.1401754250991138E-2</v>
      </c>
      <c r="E23">
        <v>1.8165902124585027E-2</v>
      </c>
      <c r="F23">
        <v>1.9235384061671329E-2</v>
      </c>
      <c r="G23" s="13"/>
      <c r="J23">
        <v>3.7682887362833498E-2</v>
      </c>
      <c r="K23">
        <v>4.3011626335212938E-2</v>
      </c>
      <c r="L23">
        <v>1.9235384061671721E-2</v>
      </c>
      <c r="M23" s="13">
        <v>2.3021728866442839E-2</v>
      </c>
    </row>
    <row r="24" spans="2:13" x14ac:dyDescent="0.2">
      <c r="C24">
        <v>3.0331501776205864E-2</v>
      </c>
      <c r="D24">
        <v>7.0710678118653244E-3</v>
      </c>
      <c r="E24">
        <v>2.5099800796022052E-2</v>
      </c>
      <c r="F24">
        <v>3.0331501776206374E-2</v>
      </c>
      <c r="G24" s="13"/>
      <c r="J24">
        <v>3.6469165057620941E-2</v>
      </c>
      <c r="K24">
        <v>4.7222875812470408E-2</v>
      </c>
      <c r="L24">
        <v>3.5071355833500392E-2</v>
      </c>
      <c r="M24" s="13">
        <v>3.4351128074634966E-2</v>
      </c>
    </row>
    <row r="25" spans="2:13" x14ac:dyDescent="0.2">
      <c r="B25" t="s">
        <v>86</v>
      </c>
      <c r="G25" s="13"/>
      <c r="I25" t="s">
        <v>86</v>
      </c>
      <c r="M25" s="13"/>
    </row>
    <row r="26" spans="2:13" x14ac:dyDescent="0.2">
      <c r="B26" t="s">
        <v>81</v>
      </c>
      <c r="C26">
        <v>0.64818181818181841</v>
      </c>
      <c r="D26">
        <v>0.66200000000000003</v>
      </c>
      <c r="E26">
        <v>0.63400000000000001</v>
      </c>
      <c r="F26">
        <v>0.65200000000000002</v>
      </c>
      <c r="G26" s="13"/>
      <c r="I26" t="s">
        <v>81</v>
      </c>
      <c r="J26">
        <v>0.62032258064516133</v>
      </c>
      <c r="L26">
        <v>0.628</v>
      </c>
      <c r="M26" s="13">
        <v>0.626</v>
      </c>
    </row>
    <row r="27" spans="2:13" x14ac:dyDescent="0.2">
      <c r="B27" t="s">
        <v>82</v>
      </c>
      <c r="C27">
        <v>0.63800000000000012</v>
      </c>
      <c r="D27">
        <v>0.64666666666666661</v>
      </c>
      <c r="E27">
        <v>0.63200000000000001</v>
      </c>
      <c r="F27">
        <v>0.64400000000000002</v>
      </c>
      <c r="G27" s="13"/>
      <c r="I27" t="s">
        <v>82</v>
      </c>
      <c r="J27">
        <v>0.65599999999999992</v>
      </c>
      <c r="K27">
        <v>0.62</v>
      </c>
      <c r="L27">
        <v>0.65600000000000003</v>
      </c>
      <c r="M27" s="13">
        <v>0.66200000000000003</v>
      </c>
    </row>
    <row r="28" spans="2:13" x14ac:dyDescent="0.2">
      <c r="B28" t="s">
        <v>83</v>
      </c>
      <c r="C28">
        <v>0.65400000000000014</v>
      </c>
      <c r="D28">
        <v>0.624</v>
      </c>
      <c r="E28">
        <v>0.64800000000000002</v>
      </c>
      <c r="F28">
        <v>0.64799999999999991</v>
      </c>
      <c r="G28" s="13"/>
      <c r="I28" t="s">
        <v>83</v>
      </c>
      <c r="J28">
        <v>0.65200000000000002</v>
      </c>
      <c r="K28">
        <v>0.63</v>
      </c>
      <c r="L28">
        <v>0.65</v>
      </c>
      <c r="M28" s="13">
        <v>0.65400000000000014</v>
      </c>
    </row>
    <row r="29" spans="2:13" x14ac:dyDescent="0.2">
      <c r="G29" s="13"/>
      <c r="M29" s="13"/>
    </row>
    <row r="30" spans="2:13" x14ac:dyDescent="0.2">
      <c r="C30">
        <v>0</v>
      </c>
      <c r="D30">
        <v>2.2803508501982747E-2</v>
      </c>
      <c r="E30">
        <v>1.1401754250991389E-2</v>
      </c>
      <c r="F30">
        <v>8.3666002653407633E-3</v>
      </c>
      <c r="G30" s="13"/>
      <c r="J30">
        <v>0</v>
      </c>
      <c r="L30">
        <v>1.6431676725154998E-2</v>
      </c>
      <c r="M30" s="13">
        <v>1.6733200530681527E-2</v>
      </c>
    </row>
    <row r="31" spans="2:13" x14ac:dyDescent="0.2">
      <c r="C31">
        <v>8.3666002653407616E-3</v>
      </c>
      <c r="D31">
        <v>1.527525231651948E-2</v>
      </c>
      <c r="E31">
        <v>1.3038404810405309E-2</v>
      </c>
      <c r="F31">
        <v>5.4772255750516656E-3</v>
      </c>
      <c r="G31" s="13"/>
      <c r="J31">
        <v>8.9442719099991665E-3</v>
      </c>
      <c r="K31">
        <v>3.1622776601683819E-2</v>
      </c>
      <c r="L31">
        <v>5.4772255750516656E-3</v>
      </c>
      <c r="M31" s="13">
        <v>4.4721359549995841E-3</v>
      </c>
    </row>
    <row r="32" spans="2:13" x14ac:dyDescent="0.2">
      <c r="C32">
        <v>8.9442719099991665E-3</v>
      </c>
      <c r="D32">
        <v>3.9115214431215885E-2</v>
      </c>
      <c r="E32">
        <v>1.3038404810405309E-2</v>
      </c>
      <c r="F32">
        <v>4.4721359549995832E-3</v>
      </c>
      <c r="G32" s="13"/>
      <c r="J32">
        <v>8.3666002653407633E-3</v>
      </c>
      <c r="K32">
        <v>2.4494897427831803E-2</v>
      </c>
      <c r="L32">
        <v>2.5495097567963948E-2</v>
      </c>
      <c r="M32" s="13">
        <v>8.9442719099991682E-3</v>
      </c>
    </row>
    <row r="33" spans="2:13" x14ac:dyDescent="0.2">
      <c r="B33" t="s">
        <v>87</v>
      </c>
      <c r="G33" s="13"/>
      <c r="I33" t="s">
        <v>87</v>
      </c>
      <c r="M33" s="13"/>
    </row>
    <row r="34" spans="2:13" x14ac:dyDescent="0.2">
      <c r="B34" t="s">
        <v>81</v>
      </c>
      <c r="C34">
        <v>7.7169696969696986</v>
      </c>
      <c r="D34">
        <v>7.9480000000000004</v>
      </c>
      <c r="E34">
        <v>7.8439999999999994</v>
      </c>
      <c r="F34">
        <v>8.1640000000000015</v>
      </c>
      <c r="G34" s="13"/>
      <c r="J34">
        <v>7.9677419354838701</v>
      </c>
      <c r="K34">
        <v>7.8920000000000003</v>
      </c>
      <c r="L34">
        <v>7.9179999999999993</v>
      </c>
      <c r="M34" s="13">
        <v>8.0360000000000014</v>
      </c>
    </row>
    <row r="35" spans="2:13" x14ac:dyDescent="0.2">
      <c r="B35" t="s">
        <v>82</v>
      </c>
      <c r="C35">
        <v>8.0859999999999985</v>
      </c>
      <c r="D35">
        <v>7.9479999999999986</v>
      </c>
      <c r="E35">
        <v>8.0139999999999993</v>
      </c>
      <c r="F35">
        <v>7.8539999999999992</v>
      </c>
      <c r="G35" s="13"/>
      <c r="J35">
        <v>8.1719999999999988</v>
      </c>
      <c r="K35">
        <v>7.9859999999999998</v>
      </c>
      <c r="L35">
        <v>8.0239999999999991</v>
      </c>
      <c r="M35" s="13">
        <v>8.1639999999999979</v>
      </c>
    </row>
    <row r="36" spans="2:13" x14ac:dyDescent="0.2">
      <c r="B36" t="s">
        <v>83</v>
      </c>
      <c r="C36">
        <v>8.0440000000000005</v>
      </c>
      <c r="D36">
        <v>7.8079999999999998</v>
      </c>
      <c r="E36">
        <v>8</v>
      </c>
      <c r="F36">
        <v>8.0259999999999998</v>
      </c>
      <c r="G36" s="13"/>
      <c r="J36">
        <v>7.9240000000000013</v>
      </c>
      <c r="K36">
        <v>7.9359999999999999</v>
      </c>
      <c r="L36">
        <v>7.9799999999999995</v>
      </c>
      <c r="M36" s="13">
        <v>8.0140000000000011</v>
      </c>
    </row>
    <row r="37" spans="2:13" x14ac:dyDescent="0.2">
      <c r="G37" s="13"/>
      <c r="M37" s="13"/>
    </row>
    <row r="38" spans="2:13" x14ac:dyDescent="0.2">
      <c r="C38">
        <v>0</v>
      </c>
      <c r="D38">
        <v>1.0954451150103454E-2</v>
      </c>
      <c r="E38">
        <v>1.5165750888103012E-2</v>
      </c>
      <c r="F38">
        <v>9.7365291557104341E-2</v>
      </c>
      <c r="G38" s="13"/>
      <c r="J38">
        <v>9.9301366129890925E-16</v>
      </c>
      <c r="K38">
        <v>2.5884358211089413E-2</v>
      </c>
      <c r="L38">
        <v>1.9235384061671305E-2</v>
      </c>
      <c r="M38" s="13">
        <v>2.9664793948382947E-2</v>
      </c>
    </row>
    <row r="39" spans="2:13" x14ac:dyDescent="0.2">
      <c r="C39">
        <v>8.9442719099989687E-3</v>
      </c>
      <c r="D39">
        <v>5.2630789467762909E-2</v>
      </c>
      <c r="E39">
        <v>8.9442719099989687E-3</v>
      </c>
      <c r="F39">
        <v>1.6733200530681579E-2</v>
      </c>
      <c r="G39" s="13"/>
      <c r="J39">
        <v>4.6043457732885526E-2</v>
      </c>
      <c r="K39">
        <v>3.3615472627943246E-2</v>
      </c>
      <c r="L39">
        <v>1.8165902124584563E-2</v>
      </c>
      <c r="M39" s="13">
        <v>4.979959839195524E-2</v>
      </c>
    </row>
    <row r="40" spans="2:13" x14ac:dyDescent="0.2">
      <c r="C40">
        <v>1.9493588689618379E-2</v>
      </c>
      <c r="D40">
        <v>4.4721359549994844E-3</v>
      </c>
      <c r="E40">
        <v>1.5811388300841559E-2</v>
      </c>
      <c r="F40">
        <v>2.7018512172212576E-2</v>
      </c>
      <c r="G40" s="13"/>
      <c r="J40">
        <v>4.5607017003965564E-2</v>
      </c>
      <c r="K40">
        <v>3.0495901363953949E-2</v>
      </c>
      <c r="L40">
        <v>2.5495097567963816E-2</v>
      </c>
      <c r="M40" s="13">
        <v>4.979959839195526E-2</v>
      </c>
    </row>
    <row r="41" spans="2:13" x14ac:dyDescent="0.2">
      <c r="B41" t="s">
        <v>65</v>
      </c>
    </row>
    <row r="42" spans="2:13" x14ac:dyDescent="0.2">
      <c r="B42" t="s">
        <v>76</v>
      </c>
      <c r="C42" t="s">
        <v>77</v>
      </c>
      <c r="D42" t="s">
        <v>78</v>
      </c>
      <c r="E42" t="s">
        <v>79</v>
      </c>
    </row>
    <row r="43" spans="2:13" x14ac:dyDescent="0.2">
      <c r="B43" t="s">
        <v>81</v>
      </c>
      <c r="C43">
        <v>1.7074697838355384</v>
      </c>
      <c r="D43">
        <v>1.6821880987353128</v>
      </c>
      <c r="E43">
        <v>1.7220982008190426</v>
      </c>
    </row>
    <row r="44" spans="2:13" x14ac:dyDescent="0.2">
      <c r="B44" t="s">
        <v>82</v>
      </c>
      <c r="C44">
        <v>2.0260374005261697</v>
      </c>
      <c r="D44">
        <v>1.6505240141843287</v>
      </c>
      <c r="E44">
        <v>2.1709808454925277</v>
      </c>
    </row>
    <row r="45" spans="2:13" x14ac:dyDescent="0.2">
      <c r="B45" t="s">
        <v>83</v>
      </c>
      <c r="C45">
        <v>2.2054055064310858</v>
      </c>
      <c r="D45">
        <v>1.6394389164788012</v>
      </c>
      <c r="E45">
        <v>1.7505070399143716</v>
      </c>
    </row>
    <row r="47" spans="2:13" x14ac:dyDescent="0.2">
      <c r="C47">
        <v>0.25729479858810722</v>
      </c>
      <c r="D47">
        <v>0.2179529744280724</v>
      </c>
      <c r="E47">
        <v>0.11803388113488114</v>
      </c>
    </row>
    <row r="48" spans="2:13" x14ac:dyDescent="0.2">
      <c r="C48">
        <v>0.13261634792454199</v>
      </c>
      <c r="D48">
        <v>0.31715237028714566</v>
      </c>
      <c r="E48">
        <v>0.12943987243641292</v>
      </c>
    </row>
    <row r="49" spans="3:5" x14ac:dyDescent="0.2">
      <c r="C49">
        <v>0.23073474911482816</v>
      </c>
      <c r="D49">
        <v>0.16106748428989315</v>
      </c>
      <c r="E49">
        <v>9.1779010219364951E-2</v>
      </c>
    </row>
  </sheetData>
  <conditionalFormatting sqref="E2:F8 D1:D4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L8 J1:J4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7AB82-FE2E-954E-9AC9-2F6D8B2B59BE}">
  <dimension ref="A1:I7"/>
  <sheetViews>
    <sheetView workbookViewId="0">
      <selection activeCell="L19" sqref="L19"/>
    </sheetView>
  </sheetViews>
  <sheetFormatPr baseColWidth="10" defaultRowHeight="16" x14ac:dyDescent="0.2"/>
  <cols>
    <col min="1" max="1" width="18.6640625" customWidth="1"/>
  </cols>
  <sheetData>
    <row r="1" spans="1:9" ht="64" x14ac:dyDescent="0.2">
      <c r="A1" s="8" t="s">
        <v>52</v>
      </c>
      <c r="B1" s="9" t="s">
        <v>68</v>
      </c>
      <c r="C1" s="9" t="s">
        <v>69</v>
      </c>
      <c r="D1" s="9" t="s">
        <v>70</v>
      </c>
      <c r="E1" s="9" t="s">
        <v>71</v>
      </c>
      <c r="F1" s="9" t="s">
        <v>72</v>
      </c>
      <c r="G1" s="9" t="s">
        <v>71</v>
      </c>
      <c r="H1" s="9" t="s">
        <v>73</v>
      </c>
      <c r="I1" s="9" t="s">
        <v>74</v>
      </c>
    </row>
    <row r="2" spans="1:9" x14ac:dyDescent="0.2">
      <c r="A2" s="10" t="s">
        <v>117</v>
      </c>
      <c r="B2" s="11">
        <v>69</v>
      </c>
      <c r="C2" s="11">
        <v>61</v>
      </c>
      <c r="D2" s="11">
        <v>61</v>
      </c>
      <c r="E2" s="11">
        <v>44</v>
      </c>
      <c r="F2" s="11">
        <v>44</v>
      </c>
      <c r="G2" s="11">
        <v>33</v>
      </c>
      <c r="H2" s="11">
        <v>33</v>
      </c>
      <c r="I2" s="11">
        <v>30</v>
      </c>
    </row>
    <row r="3" spans="1:9" x14ac:dyDescent="0.2">
      <c r="A3" s="10"/>
      <c r="B3" s="11"/>
      <c r="C3" s="11"/>
      <c r="D3" s="11"/>
      <c r="E3" s="11"/>
      <c r="F3" s="11"/>
      <c r="G3" s="11"/>
      <c r="H3" s="11"/>
      <c r="I3" s="11"/>
    </row>
    <row r="5" spans="1:9" ht="68" x14ac:dyDescent="0.2">
      <c r="A5" s="14" t="s">
        <v>75</v>
      </c>
      <c r="B5" s="14" t="s">
        <v>68</v>
      </c>
      <c r="C5" s="14" t="s">
        <v>69</v>
      </c>
      <c r="D5" s="14" t="s">
        <v>70</v>
      </c>
      <c r="E5" s="14" t="s">
        <v>71</v>
      </c>
      <c r="F5" s="14" t="s">
        <v>72</v>
      </c>
      <c r="G5" s="14" t="s">
        <v>71</v>
      </c>
      <c r="H5" s="14" t="s">
        <v>73</v>
      </c>
      <c r="I5" s="14" t="s">
        <v>74</v>
      </c>
    </row>
    <row r="6" spans="1:9" x14ac:dyDescent="0.2">
      <c r="A6" s="15" t="s">
        <v>117</v>
      </c>
      <c r="B6" s="15">
        <v>50</v>
      </c>
      <c r="C6" s="15">
        <v>46</v>
      </c>
      <c r="D6" s="15">
        <v>45</v>
      </c>
      <c r="E6" s="15">
        <v>42</v>
      </c>
      <c r="F6" s="15">
        <v>32</v>
      </c>
      <c r="G6" s="15">
        <v>31</v>
      </c>
      <c r="H6" s="15">
        <v>28</v>
      </c>
      <c r="I6" s="15">
        <v>28</v>
      </c>
    </row>
    <row r="7" spans="1:9" x14ac:dyDescent="0.2">
      <c r="A7" s="15" t="s">
        <v>116</v>
      </c>
      <c r="B7" s="15">
        <v>55</v>
      </c>
      <c r="C7" s="15">
        <v>50</v>
      </c>
      <c r="D7" s="15"/>
      <c r="E7" s="15"/>
      <c r="F7" s="15"/>
      <c r="G7" s="15"/>
      <c r="H7" s="15"/>
      <c r="I7" s="1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55D50-8B0E-604F-94CE-6637B9067766}">
  <dimension ref="A1:O26"/>
  <sheetViews>
    <sheetView workbookViewId="0">
      <selection activeCell="B2" sqref="B2:O26"/>
    </sheetView>
  </sheetViews>
  <sheetFormatPr baseColWidth="10" defaultRowHeight="16" x14ac:dyDescent="0.2"/>
  <sheetData>
    <row r="1" spans="1:15" x14ac:dyDescent="0.2">
      <c r="B1" t="s">
        <v>350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</row>
    <row r="2" spans="1:15" x14ac:dyDescent="0.2">
      <c r="A2" t="s">
        <v>75</v>
      </c>
      <c r="B2">
        <v>0</v>
      </c>
      <c r="C2">
        <v>0.125</v>
      </c>
      <c r="D2">
        <v>1</v>
      </c>
      <c r="E2">
        <v>2</v>
      </c>
      <c r="F2">
        <v>3</v>
      </c>
      <c r="G2">
        <v>0</v>
      </c>
      <c r="H2">
        <v>15</v>
      </c>
      <c r="I2">
        <v>16</v>
      </c>
      <c r="J2">
        <v>17</v>
      </c>
      <c r="K2">
        <v>18</v>
      </c>
      <c r="L2">
        <v>30</v>
      </c>
      <c r="M2">
        <v>31.3125</v>
      </c>
      <c r="N2">
        <v>32</v>
      </c>
      <c r="O2">
        <v>33</v>
      </c>
    </row>
    <row r="3" spans="1:15" x14ac:dyDescent="0.2">
      <c r="A3" t="s">
        <v>75</v>
      </c>
      <c r="B3" t="s">
        <v>53</v>
      </c>
      <c r="C3">
        <v>1.5E-3</v>
      </c>
      <c r="D3">
        <v>7.7703460653333325E-3</v>
      </c>
      <c r="E3">
        <v>4.1717299599999993E-2</v>
      </c>
      <c r="F3">
        <v>0.11876286122</v>
      </c>
      <c r="G3">
        <v>0</v>
      </c>
      <c r="H3">
        <v>1.5E-3</v>
      </c>
      <c r="I3">
        <v>7.2649204000000012E-3</v>
      </c>
      <c r="J3">
        <v>5.3794335580000026E-2</v>
      </c>
      <c r="K3">
        <v>0.36052606998999986</v>
      </c>
      <c r="L3">
        <v>5.0000000000000001E-4</v>
      </c>
      <c r="M3">
        <v>7.529374610000002E-3</v>
      </c>
      <c r="N3">
        <v>1.15043918E-2</v>
      </c>
      <c r="O3">
        <v>0.10185197817000001</v>
      </c>
    </row>
    <row r="4" spans="1:15" x14ac:dyDescent="0.2">
      <c r="A4" t="s">
        <v>75</v>
      </c>
      <c r="B4" t="s">
        <v>54</v>
      </c>
      <c r="C4">
        <v>1.5E-3</v>
      </c>
      <c r="D4">
        <v>5.4444212653333339E-3</v>
      </c>
      <c r="E4">
        <v>4.0084767600000001E-2</v>
      </c>
      <c r="F4">
        <v>0.11825955722000002</v>
      </c>
      <c r="G4">
        <v>0</v>
      </c>
      <c r="H4">
        <v>1.5E-3</v>
      </c>
      <c r="I4">
        <v>5.4060475999999982E-3</v>
      </c>
      <c r="J4">
        <v>5.0782591580000008E-2</v>
      </c>
      <c r="K4">
        <v>0.36088354999</v>
      </c>
      <c r="L4">
        <v>5.0000000000000001E-4</v>
      </c>
      <c r="M4">
        <v>6.5037110099999997E-3</v>
      </c>
      <c r="N4">
        <v>1.5208176600000005E-2</v>
      </c>
      <c r="O4">
        <v>0.13181001417000002</v>
      </c>
    </row>
    <row r="5" spans="1:15" x14ac:dyDescent="0.2">
      <c r="A5" t="s">
        <v>75</v>
      </c>
      <c r="B5" t="s">
        <v>55</v>
      </c>
      <c r="C5">
        <v>1.5E-3</v>
      </c>
      <c r="D5">
        <v>6.3201760653333319E-3</v>
      </c>
      <c r="E5">
        <v>4.6064403599999998E-2</v>
      </c>
      <c r="F5">
        <v>0.16741802122000002</v>
      </c>
      <c r="G5">
        <v>0</v>
      </c>
      <c r="H5">
        <v>1.5E-3</v>
      </c>
      <c r="I5">
        <v>8.9074639999999951E-3</v>
      </c>
      <c r="J5">
        <v>6.5179095579999999E-2</v>
      </c>
      <c r="K5">
        <v>0.46065366999000007</v>
      </c>
      <c r="L5">
        <v>5.0000000000000001E-4</v>
      </c>
      <c r="M5">
        <v>6.1617250099999989E-3</v>
      </c>
      <c r="N5">
        <v>1.9632284599999997E-2</v>
      </c>
      <c r="O5">
        <v>0.14015708617</v>
      </c>
    </row>
    <row r="6" spans="1:15" x14ac:dyDescent="0.2">
      <c r="A6" t="s">
        <v>75</v>
      </c>
      <c r="B6" t="s">
        <v>56</v>
      </c>
      <c r="C6">
        <v>1.5E-3</v>
      </c>
      <c r="D6">
        <v>6.9162156653333291E-3</v>
      </c>
      <c r="E6">
        <v>4.4665839600000007E-2</v>
      </c>
      <c r="F6">
        <v>0.14020634122</v>
      </c>
      <c r="G6">
        <v>0</v>
      </c>
      <c r="H6">
        <v>1.5E-3</v>
      </c>
      <c r="I6">
        <v>1.1118747200000001E-2</v>
      </c>
      <c r="J6">
        <v>6.4590795579999999E-2</v>
      </c>
      <c r="K6">
        <v>0.46476514999000013</v>
      </c>
      <c r="L6">
        <v>5.0000000000000001E-4</v>
      </c>
      <c r="M6">
        <v>5.5180502100000018E-3</v>
      </c>
      <c r="N6">
        <v>1.72185966E-2</v>
      </c>
      <c r="O6">
        <v>0.15444417016999998</v>
      </c>
    </row>
    <row r="7" spans="1:15" x14ac:dyDescent="0.2">
      <c r="A7" t="s">
        <v>75</v>
      </c>
      <c r="B7" t="s">
        <v>57</v>
      </c>
      <c r="C7">
        <v>1.5E-3</v>
      </c>
      <c r="D7">
        <v>6.541605265333335E-3</v>
      </c>
      <c r="E7">
        <v>4.757134360000001E-2</v>
      </c>
      <c r="F7">
        <v>0.16920086121999997</v>
      </c>
      <c r="G7">
        <v>0</v>
      </c>
      <c r="H7">
        <v>1.5E-3</v>
      </c>
      <c r="I7">
        <v>7.4798052E-3</v>
      </c>
      <c r="J7">
        <v>7.8168591580000002E-2</v>
      </c>
      <c r="K7">
        <v>0.48538458999000006</v>
      </c>
      <c r="L7">
        <v>5.0000000000000001E-4</v>
      </c>
      <c r="M7">
        <v>5.7175186100000015E-3</v>
      </c>
      <c r="N7">
        <v>2.0349952600000002E-2</v>
      </c>
      <c r="O7">
        <v>0.16143397417000002</v>
      </c>
    </row>
    <row r="8" spans="1:15" x14ac:dyDescent="0.2">
      <c r="A8" t="s">
        <v>75</v>
      </c>
      <c r="B8" t="s">
        <v>58</v>
      </c>
      <c r="C8">
        <v>1.5E-3</v>
      </c>
      <c r="D8">
        <v>9.4295566533333496E-4</v>
      </c>
      <c r="E8">
        <v>3.3692180000000037E-3</v>
      </c>
      <c r="F8">
        <v>1.6817831219999996E-2</v>
      </c>
      <c r="G8">
        <v>0</v>
      </c>
      <c r="H8">
        <v>1.5E-3</v>
      </c>
      <c r="I8">
        <v>1.2015284000000005E-3</v>
      </c>
      <c r="J8">
        <v>8.2066427800000022E-3</v>
      </c>
      <c r="K8">
        <v>4.961367399000001E-2</v>
      </c>
      <c r="L8">
        <v>3.0000000000000001E-3</v>
      </c>
      <c r="M8">
        <v>4.8999906100000018E-3</v>
      </c>
      <c r="N8">
        <v>6.7086250000000036E-3</v>
      </c>
      <c r="O8">
        <v>3.3815750169999992E-2</v>
      </c>
    </row>
    <row r="9" spans="1:15" x14ac:dyDescent="0.2">
      <c r="A9" t="s">
        <v>75</v>
      </c>
      <c r="B9" t="s">
        <v>59</v>
      </c>
      <c r="C9">
        <v>1.5E-3</v>
      </c>
      <c r="D9">
        <v>1.3855388653333332E-3</v>
      </c>
      <c r="E9">
        <v>2.1194224000000011E-3</v>
      </c>
      <c r="F9">
        <v>9.2622788200000025E-3</v>
      </c>
      <c r="G9">
        <v>0</v>
      </c>
      <c r="H9">
        <v>1.5E-3</v>
      </c>
      <c r="I9">
        <v>8.6228680000000058E-4</v>
      </c>
      <c r="J9">
        <v>8.1558491799999973E-3</v>
      </c>
      <c r="K9">
        <v>4.4851765990000007E-2</v>
      </c>
      <c r="L9">
        <v>3.0000000000000001E-3</v>
      </c>
      <c r="M9">
        <v>1.3947005010000001E-2</v>
      </c>
      <c r="N9">
        <v>1.9608724599999999E-2</v>
      </c>
      <c r="O9">
        <v>0.10098062617000002</v>
      </c>
    </row>
    <row r="10" spans="1:15" x14ac:dyDescent="0.2">
      <c r="A10" t="s">
        <v>75</v>
      </c>
      <c r="B10" t="s">
        <v>60</v>
      </c>
      <c r="C10">
        <v>1.5E-3</v>
      </c>
      <c r="D10">
        <v>1.2971975653333341E-3</v>
      </c>
      <c r="E10">
        <v>3.5017239999999995E-3</v>
      </c>
      <c r="F10">
        <v>1.0422542420000003E-2</v>
      </c>
      <c r="G10">
        <v>0</v>
      </c>
      <c r="H10">
        <v>1.5E-3</v>
      </c>
      <c r="I10">
        <v>2.9365588000000008E-3</v>
      </c>
      <c r="J10">
        <v>1.0968462780000004E-2</v>
      </c>
      <c r="K10">
        <v>4.8217901990000006E-2</v>
      </c>
      <c r="L10">
        <v>3.0000000000000001E-3</v>
      </c>
      <c r="M10">
        <v>3.1911890099999996E-3</v>
      </c>
      <c r="N10">
        <v>4.7020730000000019E-3</v>
      </c>
      <c r="O10">
        <v>3.3064042169999988E-2</v>
      </c>
    </row>
    <row r="11" spans="1:15" x14ac:dyDescent="0.2">
      <c r="A11" t="s">
        <v>75</v>
      </c>
      <c r="B11" t="s">
        <v>61</v>
      </c>
      <c r="C11">
        <v>1.5E-3</v>
      </c>
      <c r="D11">
        <v>1.8171724653333341E-3</v>
      </c>
      <c r="E11">
        <v>2.6019400000000005E-3</v>
      </c>
      <c r="F11">
        <v>1.3153186420000004E-2</v>
      </c>
      <c r="G11">
        <v>0</v>
      </c>
      <c r="H11">
        <v>1.5E-3</v>
      </c>
      <c r="I11">
        <v>1.6250603600000014E-3</v>
      </c>
      <c r="J11">
        <v>1.0440317979999999E-2</v>
      </c>
      <c r="K11">
        <v>0.11233945399</v>
      </c>
      <c r="L11">
        <v>3.0000000000000001E-3</v>
      </c>
      <c r="M11">
        <v>4.248329410000003E-3</v>
      </c>
      <c r="N11">
        <v>1.20980246E-2</v>
      </c>
      <c r="O11">
        <v>6.2257746170000003E-2</v>
      </c>
    </row>
    <row r="12" spans="1:15" x14ac:dyDescent="0.2">
      <c r="A12" t="s">
        <v>75</v>
      </c>
      <c r="B12" t="s">
        <v>62</v>
      </c>
      <c r="C12">
        <v>1.5E-3</v>
      </c>
      <c r="D12">
        <v>1.0431232653333343E-3</v>
      </c>
      <c r="E12">
        <v>2.3918004000000014E-3</v>
      </c>
      <c r="F12">
        <v>9.4916912199999991E-3</v>
      </c>
      <c r="G12">
        <v>0</v>
      </c>
      <c r="H12">
        <v>1.5E-3</v>
      </c>
      <c r="I12">
        <v>2.4479656000000027E-3</v>
      </c>
      <c r="J12">
        <v>1.0252151980000002E-2</v>
      </c>
      <c r="K12">
        <v>5.3389677989999995E-2</v>
      </c>
      <c r="L12">
        <v>3.0000000000000001E-3</v>
      </c>
      <c r="M12">
        <v>8.5390510100000015E-3</v>
      </c>
      <c r="N12">
        <v>1.14297046E-2</v>
      </c>
      <c r="O12">
        <v>6.9954586169999985E-2</v>
      </c>
    </row>
    <row r="13" spans="1:15" x14ac:dyDescent="0.2">
      <c r="A13" t="s">
        <v>75</v>
      </c>
      <c r="B13" t="s">
        <v>63</v>
      </c>
      <c r="C13">
        <v>1.5E-3</v>
      </c>
      <c r="D13">
        <v>3.2022971853333344E-3</v>
      </c>
      <c r="E13">
        <v>2.7789599600000006E-2</v>
      </c>
      <c r="F13">
        <v>9.8520649220000006E-2</v>
      </c>
      <c r="G13">
        <v>0</v>
      </c>
      <c r="H13">
        <v>1.5E-3</v>
      </c>
      <c r="I13">
        <v>1.2354770400000003E-2</v>
      </c>
      <c r="J13">
        <v>8.4063479580000017E-2</v>
      </c>
      <c r="K13">
        <v>0.40242890999000008</v>
      </c>
      <c r="L13">
        <v>5.0000000000000001E-4</v>
      </c>
      <c r="M13">
        <v>3.5751706100000027E-3</v>
      </c>
      <c r="N13">
        <v>1.0544632999999998E-2</v>
      </c>
      <c r="O13">
        <v>0.13210196217</v>
      </c>
    </row>
    <row r="14" spans="1:15" x14ac:dyDescent="0.2">
      <c r="A14" t="s">
        <v>75</v>
      </c>
      <c r="B14" t="s">
        <v>64</v>
      </c>
      <c r="C14">
        <v>1.5E-3</v>
      </c>
      <c r="D14">
        <v>1.1648336653333341E-3</v>
      </c>
      <c r="E14">
        <v>7.3314479999999974E-3</v>
      </c>
      <c r="F14">
        <v>1.6036526420000006E-2</v>
      </c>
      <c r="G14">
        <v>0</v>
      </c>
      <c r="H14">
        <v>1.5E-3</v>
      </c>
      <c r="I14">
        <v>4.5486788000000007E-3</v>
      </c>
      <c r="J14">
        <v>2.9756347580000002E-2</v>
      </c>
      <c r="K14">
        <v>0.16265672998999997</v>
      </c>
      <c r="L14">
        <v>3.0000000000000001E-3</v>
      </c>
      <c r="M14">
        <v>8.8547158100000002E-3</v>
      </c>
      <c r="N14">
        <v>8.2869325999999979E-3</v>
      </c>
      <c r="O14">
        <v>5.0186670170000003E-2</v>
      </c>
    </row>
    <row r="15" spans="1:15" x14ac:dyDescent="0.2">
      <c r="A15" t="s">
        <v>52</v>
      </c>
      <c r="B15" t="s">
        <v>53</v>
      </c>
      <c r="C15">
        <v>1.5E-3</v>
      </c>
      <c r="D15">
        <v>7.6512620899999986E-3</v>
      </c>
      <c r="E15">
        <v>3.2667212200000004E-2</v>
      </c>
      <c r="F15">
        <v>0.19126732909000005</v>
      </c>
      <c r="G15">
        <v>0</v>
      </c>
      <c r="H15">
        <v>5.0000000000000001E-4</v>
      </c>
      <c r="I15">
        <v>3.9892419599999989E-3</v>
      </c>
      <c r="J15">
        <v>1.7775706160500004E-2</v>
      </c>
      <c r="K15">
        <v>0.15376451822327003</v>
      </c>
      <c r="L15">
        <v>5.0000000000000001E-4</v>
      </c>
      <c r="M15">
        <v>3.8307896299999977E-3</v>
      </c>
      <c r="N15">
        <v>1.6436926559999999E-2</v>
      </c>
      <c r="O15">
        <v>0.10649651576900004</v>
      </c>
    </row>
    <row r="16" spans="1:15" x14ac:dyDescent="0.2">
      <c r="A16" t="s">
        <v>52</v>
      </c>
      <c r="B16" t="s">
        <v>54</v>
      </c>
      <c r="C16">
        <v>1.5E-3</v>
      </c>
      <c r="D16">
        <v>5.011879690000001E-3</v>
      </c>
      <c r="E16">
        <v>3.5668552200000002E-2</v>
      </c>
      <c r="F16">
        <v>0.19393920909000006</v>
      </c>
      <c r="G16">
        <v>0</v>
      </c>
      <c r="H16">
        <v>5.0000000000000001E-4</v>
      </c>
      <c r="I16">
        <v>3.6268843600000007E-3</v>
      </c>
      <c r="J16">
        <v>1.7820978160499996E-2</v>
      </c>
      <c r="K16">
        <v>0.14857471822326998</v>
      </c>
      <c r="L16">
        <v>5.0000000000000001E-4</v>
      </c>
      <c r="M16">
        <v>4.2146648299999992E-3</v>
      </c>
      <c r="N16">
        <v>2.0047111359999998E-2</v>
      </c>
      <c r="O16">
        <v>0.122422319769</v>
      </c>
    </row>
    <row r="17" spans="1:15" x14ac:dyDescent="0.2">
      <c r="A17" t="s">
        <v>52</v>
      </c>
      <c r="B17" t="s">
        <v>55</v>
      </c>
      <c r="C17">
        <v>1.5E-3</v>
      </c>
      <c r="D17">
        <v>7.1284756900000011E-3</v>
      </c>
      <c r="E17">
        <v>3.9214080199999994E-2</v>
      </c>
      <c r="F17">
        <v>0.21934980909000007</v>
      </c>
      <c r="G17">
        <v>0</v>
      </c>
      <c r="H17">
        <v>5.0000000000000001E-4</v>
      </c>
      <c r="I17">
        <v>4.3608878800000007E-3</v>
      </c>
      <c r="J17">
        <v>1.9065058160499998E-2</v>
      </c>
      <c r="K17">
        <v>0.16660127822327003</v>
      </c>
      <c r="L17">
        <v>5.0000000000000001E-4</v>
      </c>
      <c r="M17">
        <v>3.5619133899999975E-3</v>
      </c>
      <c r="N17">
        <v>2.2889123360000003E-2</v>
      </c>
      <c r="O17">
        <v>0.11855007176899995</v>
      </c>
    </row>
    <row r="18" spans="1:15" x14ac:dyDescent="0.2">
      <c r="A18" t="s">
        <v>52</v>
      </c>
      <c r="B18" t="s">
        <v>56</v>
      </c>
      <c r="C18">
        <v>1.5E-3</v>
      </c>
      <c r="D18">
        <v>7.188730889999999E-3</v>
      </c>
      <c r="E18">
        <v>4.4015268199999999E-2</v>
      </c>
      <c r="F18">
        <v>0.20774464908999996</v>
      </c>
      <c r="G18">
        <v>0</v>
      </c>
      <c r="H18">
        <v>5.0000000000000001E-4</v>
      </c>
      <c r="I18">
        <v>3.0847896800000035E-3</v>
      </c>
      <c r="J18">
        <v>2.8159818160499998E-2</v>
      </c>
      <c r="K18">
        <v>0.21404039822326998</v>
      </c>
      <c r="L18">
        <v>5.0000000000000001E-4</v>
      </c>
      <c r="M18">
        <v>5.5684336300000029E-3</v>
      </c>
      <c r="N18">
        <v>2.6930051359999995E-2</v>
      </c>
      <c r="O18">
        <v>0.15507738776899996</v>
      </c>
    </row>
    <row r="19" spans="1:15" x14ac:dyDescent="0.2">
      <c r="A19" t="s">
        <v>52</v>
      </c>
      <c r="B19" t="s">
        <v>57</v>
      </c>
      <c r="C19">
        <v>1.5E-3</v>
      </c>
      <c r="D19">
        <v>9.6787716900000008E-3</v>
      </c>
      <c r="E19">
        <v>4.2519188199999995E-2</v>
      </c>
      <c r="F19">
        <v>0.27767904909000002</v>
      </c>
      <c r="G19">
        <v>0</v>
      </c>
      <c r="H19">
        <v>5.0000000000000001E-4</v>
      </c>
      <c r="I19">
        <v>4.0281883600000006E-3</v>
      </c>
      <c r="J19">
        <v>1.7691934160499995E-2</v>
      </c>
      <c r="K19">
        <v>0.19127207822326997</v>
      </c>
      <c r="L19">
        <v>5.0000000000000001E-4</v>
      </c>
      <c r="M19">
        <v>6.0028775100000008E-3</v>
      </c>
      <c r="N19">
        <v>3.4362507360000002E-2</v>
      </c>
      <c r="O19">
        <v>0.184227747769</v>
      </c>
    </row>
    <row r="20" spans="1:15" x14ac:dyDescent="0.2">
      <c r="A20" t="s">
        <v>52</v>
      </c>
      <c r="B20" t="s">
        <v>58</v>
      </c>
      <c r="C20">
        <v>3.0000000000000001E-3</v>
      </c>
      <c r="D20">
        <v>1.6148444900000005E-3</v>
      </c>
      <c r="E20">
        <v>3.2474418000000022E-3</v>
      </c>
      <c r="F20">
        <v>1.8186549090000004E-2</v>
      </c>
      <c r="G20">
        <v>0</v>
      </c>
      <c r="H20">
        <v>1.8500000000000001E-3</v>
      </c>
      <c r="I20">
        <v>6.1974796000000259E-4</v>
      </c>
      <c r="J20">
        <v>2.2105205604999985E-3</v>
      </c>
      <c r="K20">
        <v>5.063791023270002E-3</v>
      </c>
      <c r="L20">
        <v>3.0000000000000001E-3</v>
      </c>
      <c r="M20">
        <v>7.9778400299999989E-3</v>
      </c>
      <c r="N20">
        <v>2.3745671360000001E-2</v>
      </c>
      <c r="O20">
        <v>9.4661203769000002E-2</v>
      </c>
    </row>
    <row r="21" spans="1:15" x14ac:dyDescent="0.2">
      <c r="A21" t="s">
        <v>52</v>
      </c>
      <c r="B21" t="s">
        <v>59</v>
      </c>
      <c r="C21">
        <v>3.0000000000000001E-3</v>
      </c>
      <c r="D21">
        <v>1.5448296899999974E-3</v>
      </c>
      <c r="E21">
        <v>4.8212994000000012E-3</v>
      </c>
      <c r="F21">
        <v>1.8267544690000002E-2</v>
      </c>
      <c r="G21">
        <v>0</v>
      </c>
      <c r="H21">
        <v>0</v>
      </c>
      <c r="I21">
        <v>0</v>
      </c>
      <c r="J21">
        <v>0</v>
      </c>
      <c r="K21">
        <v>0</v>
      </c>
      <c r="L21">
        <v>3.0000000000000001E-3</v>
      </c>
      <c r="M21">
        <v>7.1249252299999989E-3</v>
      </c>
      <c r="N21">
        <v>1.6236599359999999E-2</v>
      </c>
      <c r="O21">
        <v>6.8374823769000004E-2</v>
      </c>
    </row>
    <row r="22" spans="1:15" x14ac:dyDescent="0.2">
      <c r="A22" t="s">
        <v>52</v>
      </c>
      <c r="B22" t="s">
        <v>60</v>
      </c>
      <c r="C22">
        <v>3.0000000000000001E-3</v>
      </c>
      <c r="D22">
        <v>2.6947896899999985E-3</v>
      </c>
      <c r="E22">
        <v>3.0648950000000015E-3</v>
      </c>
      <c r="F22">
        <v>2.1041169090000002E-2</v>
      </c>
      <c r="G22">
        <v>0</v>
      </c>
      <c r="H22">
        <v>2.7000000000000001E-3</v>
      </c>
      <c r="I22">
        <v>6.3686636000000098E-4</v>
      </c>
      <c r="J22">
        <v>1.4668661604999994E-3</v>
      </c>
      <c r="K22">
        <v>3.2703241432699998E-3</v>
      </c>
      <c r="L22">
        <v>3.0000000000000001E-3</v>
      </c>
      <c r="M22">
        <v>1.1723575629999997E-2</v>
      </c>
      <c r="N22">
        <v>3.5388551359999999E-2</v>
      </c>
      <c r="O22">
        <v>0.142209595769</v>
      </c>
    </row>
    <row r="23" spans="1:15" x14ac:dyDescent="0.2">
      <c r="A23" t="s">
        <v>52</v>
      </c>
      <c r="B23" t="s">
        <v>61</v>
      </c>
      <c r="C23">
        <v>3.0000000000000001E-3</v>
      </c>
      <c r="D23">
        <v>1.1962492900000031E-3</v>
      </c>
      <c r="E23">
        <v>2.7935654000000015E-3</v>
      </c>
      <c r="F23">
        <v>1.960018509E-2</v>
      </c>
      <c r="G23">
        <v>0</v>
      </c>
      <c r="H23">
        <v>3.0000000000000001E-3</v>
      </c>
      <c r="I23">
        <v>2.8802379599999987E-3</v>
      </c>
      <c r="J23">
        <v>2.2089941604999984E-3</v>
      </c>
      <c r="K23">
        <v>1.5348271423269996E-2</v>
      </c>
      <c r="L23">
        <v>3.0000000000000001E-3</v>
      </c>
      <c r="M23">
        <v>1.0470176829999999E-2</v>
      </c>
      <c r="N23">
        <v>3.1260203360000009E-2</v>
      </c>
      <c r="O23">
        <v>9.5070415768999994E-2</v>
      </c>
    </row>
    <row r="24" spans="1:15" x14ac:dyDescent="0.2">
      <c r="A24" t="s">
        <v>52</v>
      </c>
      <c r="B24" t="s">
        <v>62</v>
      </c>
      <c r="C24">
        <v>3.0000000000000001E-3</v>
      </c>
      <c r="D24">
        <v>1.8502324899999992E-3</v>
      </c>
      <c r="E24">
        <v>4.860381400000004E-3</v>
      </c>
      <c r="F24">
        <v>2.2240577090000005E-2</v>
      </c>
      <c r="G24">
        <v>0</v>
      </c>
      <c r="H24">
        <v>0</v>
      </c>
      <c r="I24">
        <v>0</v>
      </c>
      <c r="J24">
        <v>0</v>
      </c>
      <c r="K24">
        <v>0</v>
      </c>
      <c r="L24">
        <v>3.0000000000000001E-3</v>
      </c>
      <c r="M24">
        <v>4.5103348300000005E-3</v>
      </c>
      <c r="N24">
        <v>1.1651011360000001E-2</v>
      </c>
      <c r="O24">
        <v>4.7552963769000013E-2</v>
      </c>
    </row>
    <row r="25" spans="1:15" x14ac:dyDescent="0.2">
      <c r="A25" t="s">
        <v>52</v>
      </c>
      <c r="B25" t="s">
        <v>63</v>
      </c>
      <c r="C25">
        <v>1.5E-3</v>
      </c>
      <c r="D25">
        <v>8.0190336899999999E-3</v>
      </c>
      <c r="E25">
        <v>2.7060868199999998E-2</v>
      </c>
      <c r="F25">
        <v>0.13278264108999999</v>
      </c>
      <c r="G25">
        <v>0</v>
      </c>
      <c r="H25">
        <v>5.0000000000000001E-4</v>
      </c>
      <c r="I25">
        <v>5.7151755600000007E-3</v>
      </c>
      <c r="J25">
        <v>1.3806654160500002E-2</v>
      </c>
      <c r="K25">
        <v>8.946258622327001E-2</v>
      </c>
      <c r="L25">
        <v>5.0000000000000001E-4</v>
      </c>
      <c r="M25">
        <v>4.8172828300000019E-3</v>
      </c>
      <c r="N25">
        <v>1.5609915359999997E-2</v>
      </c>
      <c r="O25">
        <v>6.6508375768999983E-2</v>
      </c>
    </row>
    <row r="26" spans="1:15" x14ac:dyDescent="0.2">
      <c r="A26" t="s">
        <v>52</v>
      </c>
      <c r="B26" t="s">
        <v>64</v>
      </c>
      <c r="C26">
        <v>3.0000000000000001E-3</v>
      </c>
      <c r="D26">
        <v>1.4652856899999992E-3</v>
      </c>
      <c r="E26">
        <v>6.3455950000000025E-3</v>
      </c>
      <c r="F26">
        <v>2.7175789090000006E-2</v>
      </c>
      <c r="G26">
        <v>0</v>
      </c>
      <c r="H26">
        <v>3.0000000000000001E-3</v>
      </c>
      <c r="I26">
        <v>9.1861236000000037E-4</v>
      </c>
      <c r="J26">
        <v>7.9955896049999954E-4</v>
      </c>
      <c r="K26">
        <v>3.2712302232699979E-3</v>
      </c>
      <c r="L26">
        <v>3.0000000000000001E-3</v>
      </c>
      <c r="M26">
        <v>4.8872800299999998E-3</v>
      </c>
      <c r="N26">
        <v>1.8199423359999998E-2</v>
      </c>
      <c r="O26">
        <v>6.9817087769000002E-2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4C95C-B141-6D4F-A545-FE1775BAB18D}">
  <dimension ref="A1:C61"/>
  <sheetViews>
    <sheetView workbookViewId="0">
      <selection activeCell="C65" sqref="C65"/>
    </sheetView>
  </sheetViews>
  <sheetFormatPr baseColWidth="10" defaultRowHeight="16" x14ac:dyDescent="0.2"/>
  <sheetData>
    <row r="1" spans="1:3" x14ac:dyDescent="0.2">
      <c r="A1" s="1" t="s">
        <v>39</v>
      </c>
      <c r="B1" s="1" t="s">
        <v>40</v>
      </c>
      <c r="C1" s="1" t="s">
        <v>148</v>
      </c>
    </row>
    <row r="2" spans="1:3" x14ac:dyDescent="0.2">
      <c r="A2" s="1" t="s">
        <v>7</v>
      </c>
      <c r="B2" s="1">
        <v>12.033333300000001</v>
      </c>
      <c r="C2" s="1">
        <v>2.89106453</v>
      </c>
    </row>
    <row r="3" spans="1:3" x14ac:dyDescent="0.2">
      <c r="A3" s="1" t="s">
        <v>8</v>
      </c>
      <c r="B3" s="1">
        <v>26</v>
      </c>
      <c r="C3" s="1">
        <v>6.2466214200000003</v>
      </c>
    </row>
    <row r="4" spans="1:3" x14ac:dyDescent="0.2">
      <c r="A4" s="1" t="s">
        <v>9</v>
      </c>
      <c r="B4" s="1">
        <v>10.7083333</v>
      </c>
      <c r="C4" s="1">
        <v>2.5727270899999999</v>
      </c>
    </row>
    <row r="5" spans="1:3" x14ac:dyDescent="0.2">
      <c r="A5" s="1" t="s">
        <v>10</v>
      </c>
      <c r="B5" s="1">
        <v>18.6666667</v>
      </c>
      <c r="C5" s="1">
        <v>4.4847538399999998</v>
      </c>
    </row>
    <row r="6" spans="1:3" x14ac:dyDescent="0.2">
      <c r="A6" s="1" t="s">
        <v>11</v>
      </c>
      <c r="B6" s="1">
        <v>13.066666700000001</v>
      </c>
      <c r="C6" s="1">
        <v>3.13932769</v>
      </c>
    </row>
    <row r="7" spans="1:3" x14ac:dyDescent="0.2">
      <c r="A7" s="1" t="s">
        <v>12</v>
      </c>
      <c r="B7" s="1">
        <v>12.7916667</v>
      </c>
      <c r="C7" s="1">
        <v>3.07325765</v>
      </c>
    </row>
    <row r="8" spans="1:3" x14ac:dyDescent="0.2">
      <c r="A8" s="1" t="s">
        <v>13</v>
      </c>
      <c r="B8" s="1">
        <v>17.25</v>
      </c>
      <c r="C8" s="1">
        <v>4.1443930599999996</v>
      </c>
    </row>
    <row r="9" spans="1:3" x14ac:dyDescent="0.2">
      <c r="A9" s="1" t="s">
        <v>14</v>
      </c>
      <c r="B9" s="1">
        <v>19.5</v>
      </c>
      <c r="C9" s="1">
        <v>4.6849660599999998</v>
      </c>
    </row>
    <row r="10" spans="1:3" x14ac:dyDescent="0.2">
      <c r="A10" s="1" t="s">
        <v>15</v>
      </c>
      <c r="B10" s="1">
        <v>12.2916667</v>
      </c>
      <c r="C10" s="1">
        <v>2.9531303200000001</v>
      </c>
    </row>
    <row r="11" spans="1:3" x14ac:dyDescent="0.2">
      <c r="A11" s="1" t="s">
        <v>16</v>
      </c>
      <c r="B11" s="1">
        <v>11.75</v>
      </c>
      <c r="C11" s="1">
        <v>2.8229923700000001</v>
      </c>
    </row>
    <row r="12" spans="1:3" x14ac:dyDescent="0.2">
      <c r="A12" s="1" t="s">
        <v>17</v>
      </c>
      <c r="B12" s="1">
        <v>18.8333333</v>
      </c>
      <c r="C12" s="1">
        <v>4.5247962800000003</v>
      </c>
    </row>
    <row r="13" spans="1:3" x14ac:dyDescent="0.2">
      <c r="A13" s="1" t="s">
        <v>18</v>
      </c>
      <c r="B13" s="1">
        <v>12.4583333</v>
      </c>
      <c r="C13" s="1">
        <v>2.9931727600000002</v>
      </c>
    </row>
    <row r="14" spans="1:3" x14ac:dyDescent="0.2">
      <c r="A14" s="1" t="s">
        <v>19</v>
      </c>
      <c r="B14" s="1">
        <v>11.1666667</v>
      </c>
      <c r="C14" s="1">
        <v>2.6828438100000001</v>
      </c>
    </row>
    <row r="15" spans="1:3" x14ac:dyDescent="0.2">
      <c r="A15" s="1" t="s">
        <v>20</v>
      </c>
      <c r="B15" s="1">
        <v>11.5833333</v>
      </c>
      <c r="C15" s="1">
        <v>2.78294993</v>
      </c>
    </row>
    <row r="16" spans="1:3" x14ac:dyDescent="0.2">
      <c r="A16" s="1" t="s">
        <v>21</v>
      </c>
      <c r="B16" s="1">
        <v>8.6666666699999997</v>
      </c>
      <c r="C16" s="1">
        <v>2.08220714</v>
      </c>
    </row>
    <row r="17" spans="1:3" x14ac:dyDescent="0.2">
      <c r="A17" s="1" t="s">
        <v>22</v>
      </c>
      <c r="B17" s="1">
        <v>19</v>
      </c>
      <c r="C17" s="1">
        <v>4.56483873</v>
      </c>
    </row>
    <row r="18" spans="1:3" x14ac:dyDescent="0.2">
      <c r="A18" s="1" t="s">
        <v>23</v>
      </c>
      <c r="B18" s="1">
        <v>14.0416667</v>
      </c>
      <c r="C18" s="1">
        <v>3.37357599</v>
      </c>
    </row>
    <row r="19" spans="1:3" x14ac:dyDescent="0.2">
      <c r="A19" s="1" t="s">
        <v>24</v>
      </c>
      <c r="B19" s="1">
        <v>12.5</v>
      </c>
      <c r="C19" s="1">
        <v>3.0031833699999999</v>
      </c>
    </row>
    <row r="20" spans="1:3" x14ac:dyDescent="0.2">
      <c r="A20" s="1" t="s">
        <v>25</v>
      </c>
      <c r="B20" s="1">
        <v>12.2916667</v>
      </c>
      <c r="C20" s="1">
        <v>2.9531303200000001</v>
      </c>
    </row>
    <row r="21" spans="1:3" x14ac:dyDescent="0.2">
      <c r="A21" s="1" t="s">
        <v>26</v>
      </c>
      <c r="B21" s="1">
        <v>19.4166667</v>
      </c>
      <c r="C21" s="1">
        <v>4.6649448400000004</v>
      </c>
    </row>
    <row r="22" spans="1:3" x14ac:dyDescent="0.2">
      <c r="A22" s="1" t="s">
        <v>27</v>
      </c>
      <c r="B22" s="1">
        <v>11.7916667</v>
      </c>
      <c r="C22" s="1">
        <v>2.8330029799999998</v>
      </c>
    </row>
    <row r="23" spans="1:3" x14ac:dyDescent="0.2">
      <c r="A23" s="1" t="s">
        <v>28</v>
      </c>
      <c r="B23" s="1">
        <v>10.5</v>
      </c>
      <c r="C23" s="1">
        <v>2.5226740300000001</v>
      </c>
    </row>
    <row r="24" spans="1:3" x14ac:dyDescent="0.2">
      <c r="A24" s="1" t="s">
        <v>29</v>
      </c>
      <c r="B24" s="1">
        <v>10.75</v>
      </c>
      <c r="C24" s="1">
        <v>2.5827377</v>
      </c>
    </row>
    <row r="25" spans="1:3" x14ac:dyDescent="0.2">
      <c r="A25" s="1" t="s">
        <v>30</v>
      </c>
      <c r="B25" s="1">
        <v>14.75</v>
      </c>
      <c r="C25" s="1">
        <v>3.54375638</v>
      </c>
    </row>
    <row r="26" spans="1:3" x14ac:dyDescent="0.2">
      <c r="A26" s="1" t="s">
        <v>31</v>
      </c>
      <c r="B26" s="1">
        <v>8.5833333300000003</v>
      </c>
      <c r="C26" s="1">
        <v>2.0621859200000001</v>
      </c>
    </row>
    <row r="27" spans="1:3" x14ac:dyDescent="0.2">
      <c r="A27" s="1" t="s">
        <v>32</v>
      </c>
      <c r="B27" s="1">
        <v>14</v>
      </c>
      <c r="C27" s="1">
        <v>3.3635653799999998</v>
      </c>
    </row>
    <row r="28" spans="1:3" x14ac:dyDescent="0.2">
      <c r="A28" s="1" t="s">
        <v>33</v>
      </c>
      <c r="B28" s="1">
        <v>12.7916667</v>
      </c>
      <c r="C28" s="1">
        <v>3.07325765</v>
      </c>
    </row>
    <row r="29" spans="1:3" x14ac:dyDescent="0.2">
      <c r="A29" s="1" t="s">
        <v>34</v>
      </c>
      <c r="B29" s="1">
        <v>13.2083333</v>
      </c>
      <c r="C29" s="1">
        <v>3.1733637699999999</v>
      </c>
    </row>
    <row r="30" spans="1:3" x14ac:dyDescent="0.2">
      <c r="A30" s="1" t="s">
        <v>35</v>
      </c>
      <c r="B30" s="1">
        <v>14</v>
      </c>
      <c r="C30" s="1">
        <v>3.3635653799999998</v>
      </c>
    </row>
    <row r="31" spans="1:3" x14ac:dyDescent="0.2">
      <c r="A31" s="1" t="s">
        <v>36</v>
      </c>
      <c r="B31" s="1">
        <v>11.8333333</v>
      </c>
      <c r="C31" s="1">
        <v>2.84301359</v>
      </c>
    </row>
    <row r="32" spans="1:3" x14ac:dyDescent="0.2">
      <c r="A32" t="s">
        <v>118</v>
      </c>
      <c r="B32">
        <v>21.339285714285712</v>
      </c>
      <c r="C32">
        <v>4.0956216262531058</v>
      </c>
    </row>
    <row r="33" spans="1:3" x14ac:dyDescent="0.2">
      <c r="A33" t="s">
        <v>119</v>
      </c>
      <c r="B33">
        <v>17.857142857142858</v>
      </c>
      <c r="C33">
        <v>3.4272984320109674</v>
      </c>
    </row>
    <row r="34" spans="1:3" x14ac:dyDescent="0.2">
      <c r="A34" t="s">
        <v>120</v>
      </c>
      <c r="B34">
        <v>12.55952380952381</v>
      </c>
      <c r="C34">
        <v>2.4105332305143805</v>
      </c>
    </row>
    <row r="35" spans="1:3" x14ac:dyDescent="0.2">
      <c r="A35" t="s">
        <v>121</v>
      </c>
      <c r="B35">
        <v>25.624999999999996</v>
      </c>
      <c r="C35">
        <v>4.9181732499357382</v>
      </c>
    </row>
    <row r="36" spans="1:3" x14ac:dyDescent="0.2">
      <c r="A36" t="s">
        <v>122</v>
      </c>
      <c r="B36">
        <v>17.053571428571427</v>
      </c>
      <c r="C36">
        <v>3.2730700025704738</v>
      </c>
    </row>
    <row r="37" spans="1:3" x14ac:dyDescent="0.2">
      <c r="A37" t="s">
        <v>123</v>
      </c>
      <c r="B37">
        <v>12.857142857142856</v>
      </c>
      <c r="C37">
        <v>2.4676548710478965</v>
      </c>
    </row>
    <row r="38" spans="1:3" x14ac:dyDescent="0.2">
      <c r="A38" t="s">
        <v>124</v>
      </c>
      <c r="B38">
        <v>22.142857142857142</v>
      </c>
      <c r="C38">
        <v>4.2498500556936003</v>
      </c>
    </row>
    <row r="39" spans="1:3" x14ac:dyDescent="0.2">
      <c r="A39" t="s">
        <v>125</v>
      </c>
      <c r="B39">
        <v>9.8660714285714288</v>
      </c>
      <c r="C39">
        <v>1.8935823836860595</v>
      </c>
    </row>
    <row r="40" spans="1:3" x14ac:dyDescent="0.2">
      <c r="A40" t="s">
        <v>126</v>
      </c>
      <c r="B40">
        <v>15.982142857142856</v>
      </c>
      <c r="C40">
        <v>3.0674320966498159</v>
      </c>
    </row>
    <row r="41" spans="1:3" x14ac:dyDescent="0.2">
      <c r="A41" t="s">
        <v>127</v>
      </c>
      <c r="B41">
        <v>15.178571428571429</v>
      </c>
      <c r="C41">
        <v>2.9132036672093227</v>
      </c>
    </row>
    <row r="42" spans="1:3" x14ac:dyDescent="0.2">
      <c r="A42" t="s">
        <v>128</v>
      </c>
      <c r="B42">
        <v>23.303571428571427</v>
      </c>
      <c r="C42">
        <v>4.4726244537743129</v>
      </c>
    </row>
    <row r="43" spans="1:3" x14ac:dyDescent="0.2">
      <c r="A43" t="s">
        <v>129</v>
      </c>
      <c r="B43">
        <v>17.410714285714285</v>
      </c>
      <c r="C43">
        <v>3.3416159712106932</v>
      </c>
    </row>
    <row r="44" spans="1:3" x14ac:dyDescent="0.2">
      <c r="A44" t="s">
        <v>130</v>
      </c>
      <c r="B44">
        <v>32.678571428571431</v>
      </c>
      <c r="C44">
        <v>6.2719561305800715</v>
      </c>
    </row>
    <row r="45" spans="1:3" x14ac:dyDescent="0.2">
      <c r="A45" t="s">
        <v>131</v>
      </c>
      <c r="B45">
        <v>25.267857142857142</v>
      </c>
      <c r="C45">
        <v>4.8496272812955192</v>
      </c>
    </row>
    <row r="46" spans="1:3" x14ac:dyDescent="0.2">
      <c r="A46" t="s">
        <v>132</v>
      </c>
      <c r="B46">
        <v>19.464285714285715</v>
      </c>
      <c r="C46">
        <v>3.7357552908919551</v>
      </c>
    </row>
    <row r="47" spans="1:3" x14ac:dyDescent="0.2">
      <c r="A47" t="s">
        <v>133</v>
      </c>
      <c r="B47">
        <v>14.523809523809524</v>
      </c>
      <c r="C47">
        <v>2.7875360580355868</v>
      </c>
    </row>
    <row r="48" spans="1:3" x14ac:dyDescent="0.2">
      <c r="A48" t="s">
        <v>134</v>
      </c>
    </row>
    <row r="49" spans="1:3" x14ac:dyDescent="0.2">
      <c r="A49" t="s">
        <v>135</v>
      </c>
      <c r="B49">
        <v>21.875</v>
      </c>
      <c r="C49">
        <v>4.1984405792134352</v>
      </c>
    </row>
    <row r="50" spans="1:3" x14ac:dyDescent="0.2">
      <c r="A50" t="s">
        <v>136</v>
      </c>
      <c r="B50">
        <v>29.464285714285715</v>
      </c>
      <c r="C50">
        <v>5.6550424128180969</v>
      </c>
    </row>
    <row r="51" spans="1:3" x14ac:dyDescent="0.2">
      <c r="A51" t="s">
        <v>137</v>
      </c>
      <c r="B51">
        <v>14.821428571428571</v>
      </c>
      <c r="C51">
        <v>2.8446576985691028</v>
      </c>
    </row>
    <row r="52" spans="1:3" x14ac:dyDescent="0.2">
      <c r="A52" t="s">
        <v>138</v>
      </c>
      <c r="B52">
        <v>13.273809523809524</v>
      </c>
      <c r="C52">
        <v>2.5476251677948194</v>
      </c>
    </row>
    <row r="53" spans="1:3" x14ac:dyDescent="0.2">
      <c r="A53" t="s">
        <v>139</v>
      </c>
      <c r="B53">
        <v>15.625</v>
      </c>
      <c r="C53">
        <v>2.9988861280095964</v>
      </c>
    </row>
    <row r="54" spans="1:3" x14ac:dyDescent="0.2">
      <c r="A54" t="s">
        <v>140</v>
      </c>
      <c r="B54">
        <v>28.482142857142854</v>
      </c>
      <c r="C54">
        <v>5.4665409990574929</v>
      </c>
    </row>
    <row r="55" spans="1:3" x14ac:dyDescent="0.2">
      <c r="A55" t="s">
        <v>141</v>
      </c>
    </row>
    <row r="56" spans="1:3" x14ac:dyDescent="0.2">
      <c r="A56" t="s">
        <v>142</v>
      </c>
      <c r="B56">
        <v>14.553571428571427</v>
      </c>
      <c r="C56">
        <v>2.7932482220889385</v>
      </c>
    </row>
    <row r="57" spans="1:3" x14ac:dyDescent="0.2">
      <c r="A57" t="s">
        <v>143</v>
      </c>
      <c r="B57">
        <v>17.053571428571427</v>
      </c>
      <c r="C57">
        <v>3.2730700025704738</v>
      </c>
    </row>
    <row r="58" spans="1:3" x14ac:dyDescent="0.2">
      <c r="A58" t="s">
        <v>144</v>
      </c>
      <c r="B58">
        <v>16.071428571428569</v>
      </c>
      <c r="C58">
        <v>3.0845685888098706</v>
      </c>
    </row>
    <row r="59" spans="1:3" x14ac:dyDescent="0.2">
      <c r="A59" t="s">
        <v>145</v>
      </c>
      <c r="B59">
        <v>18.214285714285712</v>
      </c>
      <c r="C59">
        <v>3.4958444006511864</v>
      </c>
    </row>
    <row r="60" spans="1:3" x14ac:dyDescent="0.2">
      <c r="A60" t="s">
        <v>146</v>
      </c>
      <c r="B60">
        <v>15.714285714285714</v>
      </c>
      <c r="C60">
        <v>3.0160226201696516</v>
      </c>
    </row>
    <row r="61" spans="1:3" x14ac:dyDescent="0.2">
      <c r="A61" t="s">
        <v>147</v>
      </c>
      <c r="B61">
        <v>12.767857142857142</v>
      </c>
      <c r="C61">
        <v>2.4505183788878417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B0B23-4CB4-4040-9E6C-683917D20FE3}">
  <dimension ref="A1:I44"/>
  <sheetViews>
    <sheetView topLeftCell="B18" workbookViewId="0">
      <selection activeCell="G13" sqref="G13"/>
    </sheetView>
  </sheetViews>
  <sheetFormatPr baseColWidth="10" defaultRowHeight="16" x14ac:dyDescent="0.2"/>
  <sheetData>
    <row r="1" spans="1:9" x14ac:dyDescent="0.2">
      <c r="A1" s="45" t="s">
        <v>52</v>
      </c>
      <c r="B1" s="45"/>
      <c r="C1" s="45"/>
      <c r="D1" s="45"/>
      <c r="F1" s="45" t="s">
        <v>75</v>
      </c>
      <c r="G1" s="45"/>
      <c r="H1" s="45"/>
      <c r="I1" s="45"/>
    </row>
    <row r="2" spans="1:9" x14ac:dyDescent="0.2">
      <c r="A2" t="s">
        <v>41</v>
      </c>
      <c r="B2">
        <v>0</v>
      </c>
      <c r="C2">
        <v>15</v>
      </c>
      <c r="D2">
        <v>39</v>
      </c>
      <c r="F2" t="s">
        <v>41</v>
      </c>
      <c r="G2">
        <v>0</v>
      </c>
      <c r="H2">
        <v>15</v>
      </c>
      <c r="I2">
        <v>39</v>
      </c>
    </row>
    <row r="3" spans="1:9" x14ac:dyDescent="0.2">
      <c r="A3" t="s">
        <v>42</v>
      </c>
      <c r="B3">
        <v>239.99143337673607</v>
      </c>
      <c r="C3">
        <v>128.26095920138889</v>
      </c>
      <c r="D3">
        <v>185.86510416666664</v>
      </c>
      <c r="F3" t="s">
        <v>42</v>
      </c>
      <c r="G3">
        <v>245.10259719122018</v>
      </c>
      <c r="H3">
        <v>190.39827473958334</v>
      </c>
      <c r="I3">
        <v>138.38180338541665</v>
      </c>
    </row>
    <row r="4" spans="1:9" x14ac:dyDescent="0.2">
      <c r="A4" t="s">
        <v>43</v>
      </c>
      <c r="B4">
        <v>239.99143337673607</v>
      </c>
      <c r="C4">
        <v>211.76942274305551</v>
      </c>
      <c r="D4">
        <v>212.72682291666666</v>
      </c>
      <c r="F4" t="s">
        <v>43</v>
      </c>
      <c r="G4">
        <v>245.10259719122018</v>
      </c>
      <c r="H4">
        <v>212.69786241319443</v>
      </c>
      <c r="I4">
        <v>249.7179036458333</v>
      </c>
    </row>
    <row r="5" spans="1:9" x14ac:dyDescent="0.2">
      <c r="A5" t="s">
        <v>44</v>
      </c>
      <c r="B5">
        <v>174.98958333333334</v>
      </c>
      <c r="C5">
        <v>170.84993489583331</v>
      </c>
      <c r="D5">
        <v>144.32552083333331</v>
      </c>
      <c r="F5" t="s">
        <v>44</v>
      </c>
      <c r="G5">
        <v>101.19140624999997</v>
      </c>
      <c r="H5">
        <v>129.86230468749997</v>
      </c>
    </row>
    <row r="6" spans="1:9" x14ac:dyDescent="0.2">
      <c r="A6" t="s">
        <v>45</v>
      </c>
      <c r="B6">
        <v>174.98958333333334</v>
      </c>
      <c r="C6">
        <v>211.07096354166663</v>
      </c>
      <c r="D6">
        <v>312.41569010416663</v>
      </c>
      <c r="F6" t="s">
        <v>45</v>
      </c>
      <c r="G6">
        <v>101.19140624999997</v>
      </c>
      <c r="H6">
        <v>188.40511067708329</v>
      </c>
      <c r="I6">
        <v>237.90201822916663</v>
      </c>
    </row>
    <row r="7" spans="1:9" x14ac:dyDescent="0.2">
      <c r="A7" t="s">
        <v>46</v>
      </c>
      <c r="F7" t="s">
        <v>46</v>
      </c>
    </row>
    <row r="8" spans="1:9" x14ac:dyDescent="0.2">
      <c r="A8" t="s">
        <v>42</v>
      </c>
      <c r="B8">
        <v>133.89505421235936</v>
      </c>
      <c r="C8">
        <v>4.3215703295024479</v>
      </c>
      <c r="D8">
        <v>12.145758222606176</v>
      </c>
      <c r="F8" t="s">
        <v>42</v>
      </c>
      <c r="G8">
        <v>94.171609591616857</v>
      </c>
      <c r="H8">
        <v>36.847051417386432</v>
      </c>
      <c r="I8">
        <v>19.374569408321715</v>
      </c>
    </row>
    <row r="9" spans="1:9" x14ac:dyDescent="0.2">
      <c r="A9" t="s">
        <v>43</v>
      </c>
      <c r="B9">
        <v>133.89505421235936</v>
      </c>
      <c r="C9">
        <v>43.336683381425019</v>
      </c>
      <c r="D9">
        <v>41.00461475196726</v>
      </c>
      <c r="F9" t="s">
        <v>43</v>
      </c>
      <c r="G9">
        <v>94.171609591616857</v>
      </c>
      <c r="H9">
        <v>28.996172320921175</v>
      </c>
      <c r="I9">
        <v>72.57144722646126</v>
      </c>
    </row>
    <row r="10" spans="1:9" x14ac:dyDescent="0.2">
      <c r="A10" t="s">
        <v>44</v>
      </c>
      <c r="B10">
        <v>70.584313950952151</v>
      </c>
      <c r="C10">
        <v>89.376514932879147</v>
      </c>
      <c r="D10">
        <v>75.174677875051842</v>
      </c>
      <c r="F10" t="s">
        <v>44</v>
      </c>
      <c r="G10">
        <v>48.833329218275054</v>
      </c>
      <c r="H10">
        <v>82.112049247951418</v>
      </c>
    </row>
    <row r="11" spans="1:9" x14ac:dyDescent="0.2">
      <c r="A11" t="s">
        <v>45</v>
      </c>
      <c r="B11">
        <v>70.584313950952151</v>
      </c>
      <c r="C11">
        <v>93.824834653121258</v>
      </c>
      <c r="D11">
        <v>115.45167238767692</v>
      </c>
      <c r="F11" t="s">
        <v>45</v>
      </c>
      <c r="G11">
        <v>48.833329218275054</v>
      </c>
      <c r="H11">
        <v>114.85037080381287</v>
      </c>
      <c r="I11">
        <v>67.22976622650306</v>
      </c>
    </row>
    <row r="13" spans="1:9" x14ac:dyDescent="0.2">
      <c r="A13" t="s">
        <v>47</v>
      </c>
      <c r="B13">
        <v>0</v>
      </c>
      <c r="C13">
        <v>15</v>
      </c>
      <c r="D13">
        <v>39</v>
      </c>
      <c r="F13" t="s">
        <v>149</v>
      </c>
      <c r="G13">
        <v>0</v>
      </c>
      <c r="H13">
        <v>15</v>
      </c>
      <c r="I13">
        <v>39</v>
      </c>
    </row>
    <row r="14" spans="1:9" x14ac:dyDescent="0.2">
      <c r="A14" t="s">
        <v>42</v>
      </c>
      <c r="B14">
        <v>0.47970535714285706</v>
      </c>
      <c r="C14">
        <v>0.54361111111111116</v>
      </c>
      <c r="D14">
        <v>0.48335714285714293</v>
      </c>
      <c r="F14" t="s">
        <v>42</v>
      </c>
      <c r="G14">
        <v>0.57409757653061233</v>
      </c>
      <c r="H14">
        <v>0.69833333333333325</v>
      </c>
      <c r="I14">
        <v>0.61889285714285713</v>
      </c>
    </row>
    <row r="15" spans="1:9" x14ac:dyDescent="0.2">
      <c r="A15" t="s">
        <v>43</v>
      </c>
      <c r="B15">
        <v>0.47970535714285706</v>
      </c>
      <c r="C15">
        <v>0.54791666666666661</v>
      </c>
      <c r="D15">
        <v>0.61166666666666669</v>
      </c>
      <c r="F15" t="s">
        <v>43</v>
      </c>
      <c r="G15">
        <v>0.57409757653061233</v>
      </c>
      <c r="H15">
        <v>0.62892857142857139</v>
      </c>
      <c r="I15">
        <v>0.60039285714285717</v>
      </c>
    </row>
    <row r="16" spans="1:9" x14ac:dyDescent="0.2">
      <c r="A16" t="s">
        <v>48</v>
      </c>
      <c r="B16">
        <v>0.41690476190476194</v>
      </c>
      <c r="C16">
        <v>0.42041666666666677</v>
      </c>
      <c r="D16">
        <v>0.29410714285714279</v>
      </c>
      <c r="F16" t="s">
        <v>48</v>
      </c>
      <c r="G16">
        <v>0.2821428571428572</v>
      </c>
      <c r="H16">
        <v>0.60958333333333337</v>
      </c>
    </row>
    <row r="17" spans="1:9" x14ac:dyDescent="0.2">
      <c r="A17" t="s">
        <v>49</v>
      </c>
      <c r="B17">
        <v>0.41690476190476194</v>
      </c>
      <c r="C17">
        <v>0.49095238095238097</v>
      </c>
      <c r="D17">
        <v>0.51922619047619045</v>
      </c>
      <c r="F17" t="s">
        <v>49</v>
      </c>
      <c r="G17">
        <v>0.2821428571428572</v>
      </c>
      <c r="H17">
        <v>0.56416666666666671</v>
      </c>
      <c r="I17">
        <v>0.52374999999999994</v>
      </c>
    </row>
    <row r="18" spans="1:9" x14ac:dyDescent="0.2">
      <c r="A18" t="s">
        <v>46</v>
      </c>
      <c r="F18" t="s">
        <v>46</v>
      </c>
    </row>
    <row r="19" spans="1:9" x14ac:dyDescent="0.2">
      <c r="A19" t="s">
        <v>42</v>
      </c>
      <c r="B19">
        <v>0.14983657813912821</v>
      </c>
      <c r="C19">
        <v>3.7917429784750399E-2</v>
      </c>
      <c r="D19">
        <v>2.074422268833688E-2</v>
      </c>
      <c r="F19" t="s">
        <v>42</v>
      </c>
      <c r="G19">
        <v>0.1224250624273249</v>
      </c>
      <c r="H19">
        <v>3.8412508813319264E-2</v>
      </c>
      <c r="I19">
        <v>5.0623741970875553E-2</v>
      </c>
    </row>
    <row r="20" spans="1:9" x14ac:dyDescent="0.2">
      <c r="A20" t="s">
        <v>43</v>
      </c>
      <c r="B20">
        <v>0.14983657813912821</v>
      </c>
      <c r="C20">
        <v>3.9345778398422557E-2</v>
      </c>
      <c r="D20">
        <v>0.16116923041738868</v>
      </c>
      <c r="F20" t="s">
        <v>43</v>
      </c>
      <c r="G20">
        <v>0.1224250624273249</v>
      </c>
      <c r="H20">
        <v>4.7046408071941596E-2</v>
      </c>
      <c r="I20">
        <v>8.0090658222919497E-2</v>
      </c>
    </row>
    <row r="21" spans="1:9" x14ac:dyDescent="0.2">
      <c r="A21" t="s">
        <v>48</v>
      </c>
      <c r="F21" t="s">
        <v>48</v>
      </c>
    </row>
    <row r="22" spans="1:9" x14ac:dyDescent="0.2">
      <c r="A22" t="s">
        <v>49</v>
      </c>
      <c r="F22" t="s">
        <v>49</v>
      </c>
    </row>
    <row r="24" spans="1:9" x14ac:dyDescent="0.2">
      <c r="A24" t="s">
        <v>50</v>
      </c>
      <c r="B24">
        <v>0</v>
      </c>
      <c r="C24">
        <v>15</v>
      </c>
      <c r="D24">
        <v>39</v>
      </c>
      <c r="F24" t="s">
        <v>50</v>
      </c>
      <c r="G24">
        <v>0</v>
      </c>
      <c r="H24">
        <v>15</v>
      </c>
      <c r="I24">
        <v>39</v>
      </c>
    </row>
    <row r="25" spans="1:9" x14ac:dyDescent="0.2">
      <c r="A25" t="s">
        <v>42</v>
      </c>
      <c r="B25">
        <v>4.5645833333333332</v>
      </c>
      <c r="C25">
        <v>3.8541666666666665</v>
      </c>
      <c r="D25">
        <v>4.2874999999999996</v>
      </c>
      <c r="F25" t="s">
        <v>42</v>
      </c>
      <c r="G25">
        <v>4.8058035714285712</v>
      </c>
      <c r="H25">
        <v>4.6875</v>
      </c>
      <c r="I25">
        <v>4.0999999999999996</v>
      </c>
    </row>
    <row r="26" spans="1:9" x14ac:dyDescent="0.2">
      <c r="A26" t="s">
        <v>43</v>
      </c>
      <c r="B26">
        <v>4.5645833333333332</v>
      </c>
      <c r="C26">
        <v>4.604166666666667</v>
      </c>
      <c r="D26">
        <v>4.625</v>
      </c>
      <c r="F26" t="s">
        <v>43</v>
      </c>
      <c r="G26">
        <v>4.8058035714285712</v>
      </c>
      <c r="H26">
        <v>4.708333333333333</v>
      </c>
      <c r="I26">
        <v>4.9375</v>
      </c>
    </row>
    <row r="27" spans="1:9" x14ac:dyDescent="0.2">
      <c r="A27" t="s">
        <v>44</v>
      </c>
      <c r="B27">
        <v>4</v>
      </c>
      <c r="C27">
        <v>4</v>
      </c>
      <c r="D27">
        <v>3.4375</v>
      </c>
      <c r="F27" t="s">
        <v>44</v>
      </c>
      <c r="G27">
        <v>3</v>
      </c>
      <c r="H27">
        <v>3.9375</v>
      </c>
    </row>
    <row r="28" spans="1:9" x14ac:dyDescent="0.2">
      <c r="A28" t="s">
        <v>45</v>
      </c>
      <c r="B28">
        <v>4</v>
      </c>
      <c r="C28">
        <v>4.4375</v>
      </c>
      <c r="D28">
        <v>5.1875</v>
      </c>
      <c r="F28" t="s">
        <v>45</v>
      </c>
      <c r="G28">
        <v>3</v>
      </c>
      <c r="H28">
        <v>4.375</v>
      </c>
      <c r="I28">
        <v>4.8125</v>
      </c>
    </row>
    <row r="29" spans="1:9" x14ac:dyDescent="0.2">
      <c r="A29" t="s">
        <v>46</v>
      </c>
      <c r="F29" t="s">
        <v>46</v>
      </c>
    </row>
    <row r="30" spans="1:9" x14ac:dyDescent="0.2">
      <c r="A30" t="s">
        <v>42</v>
      </c>
      <c r="B30">
        <v>1.0143745064658403</v>
      </c>
      <c r="C30">
        <v>0.13010412496663329</v>
      </c>
      <c r="D30">
        <v>0.12183492931011204</v>
      </c>
      <c r="F30" t="s">
        <v>42</v>
      </c>
      <c r="G30">
        <v>0.84442947361677256</v>
      </c>
      <c r="H30">
        <v>0.25</v>
      </c>
      <c r="I30">
        <v>0.25995792928856776</v>
      </c>
    </row>
    <row r="31" spans="1:9" x14ac:dyDescent="0.2">
      <c r="A31" t="s">
        <v>43</v>
      </c>
      <c r="B31">
        <v>1.0143745064658403</v>
      </c>
      <c r="C31">
        <v>0.28867513459481287</v>
      </c>
      <c r="D31">
        <v>0.62967005248780894</v>
      </c>
      <c r="F31" t="s">
        <v>43</v>
      </c>
      <c r="G31">
        <v>0.84442947361677256</v>
      </c>
      <c r="H31">
        <v>0.35539004394233292</v>
      </c>
      <c r="I31">
        <v>0.46351240544347894</v>
      </c>
    </row>
    <row r="32" spans="1:9" x14ac:dyDescent="0.2">
      <c r="A32" t="s">
        <v>44</v>
      </c>
      <c r="F32" t="s">
        <v>44</v>
      </c>
    </row>
    <row r="33" spans="1:9" x14ac:dyDescent="0.2">
      <c r="A33" t="s">
        <v>45</v>
      </c>
      <c r="F33" t="s">
        <v>45</v>
      </c>
    </row>
    <row r="35" spans="1:9" x14ac:dyDescent="0.2">
      <c r="A35" t="s">
        <v>51</v>
      </c>
      <c r="B35">
        <v>0</v>
      </c>
      <c r="C35">
        <v>15</v>
      </c>
      <c r="D35">
        <v>39</v>
      </c>
      <c r="F35" t="s">
        <v>51</v>
      </c>
      <c r="G35">
        <v>0</v>
      </c>
      <c r="H35">
        <v>15</v>
      </c>
      <c r="I35">
        <v>39</v>
      </c>
    </row>
    <row r="36" spans="1:9" x14ac:dyDescent="0.2">
      <c r="A36" t="s">
        <v>42</v>
      </c>
      <c r="B36">
        <v>0.99639079016382781</v>
      </c>
      <c r="C36">
        <v>1.1065696792762214</v>
      </c>
      <c r="D36">
        <v>1.0094968860219613</v>
      </c>
      <c r="F36" t="s">
        <v>42</v>
      </c>
      <c r="G36">
        <v>0.94024270407079535</v>
      </c>
      <c r="H36">
        <v>0.95567771821216618</v>
      </c>
      <c r="I36">
        <v>1.0763657535994955</v>
      </c>
    </row>
    <row r="37" spans="1:9" x14ac:dyDescent="0.2">
      <c r="A37" t="s">
        <v>43</v>
      </c>
      <c r="B37">
        <v>0.99639079016382781</v>
      </c>
      <c r="C37">
        <v>0.95069998580452586</v>
      </c>
      <c r="D37">
        <v>0.94010711529313018</v>
      </c>
      <c r="F37" t="s">
        <v>43</v>
      </c>
      <c r="G37">
        <v>0.94024270407079535</v>
      </c>
      <c r="H37">
        <v>0.92153723979898361</v>
      </c>
      <c r="I37">
        <v>0.8941838981335346</v>
      </c>
    </row>
    <row r="38" spans="1:9" x14ac:dyDescent="0.2">
      <c r="A38" t="s">
        <v>44</v>
      </c>
      <c r="B38">
        <v>1.0794392523364484</v>
      </c>
      <c r="C38">
        <v>1.0424169907268921</v>
      </c>
      <c r="D38">
        <v>1.191501416430595</v>
      </c>
      <c r="F38" t="s">
        <v>44</v>
      </c>
      <c r="G38">
        <v>1.3769696969696974</v>
      </c>
      <c r="H38">
        <v>1.0635182998819364</v>
      </c>
    </row>
    <row r="39" spans="1:9" x14ac:dyDescent="0.2">
      <c r="A39" t="s">
        <v>45</v>
      </c>
      <c r="B39">
        <v>1.0794392523364484</v>
      </c>
      <c r="C39">
        <v>0.96581113801452811</v>
      </c>
      <c r="D39">
        <v>0.85352527400621625</v>
      </c>
      <c r="F39" t="s">
        <v>45</v>
      </c>
      <c r="G39">
        <v>1.3769696969696974</v>
      </c>
      <c r="H39">
        <v>0.95179709751797092</v>
      </c>
      <c r="I39">
        <v>0.92287862513426422</v>
      </c>
    </row>
    <row r="40" spans="1:9" x14ac:dyDescent="0.2">
      <c r="A40" t="s">
        <v>46</v>
      </c>
      <c r="F40" t="s">
        <v>46</v>
      </c>
    </row>
    <row r="41" spans="1:9" x14ac:dyDescent="0.2">
      <c r="A41" t="s">
        <v>42</v>
      </c>
      <c r="B41">
        <v>0.17138801676410775</v>
      </c>
      <c r="C41">
        <v>2.2005066057790439E-2</v>
      </c>
      <c r="D41">
        <v>2.8190839167460988E-2</v>
      </c>
      <c r="F41" t="s">
        <v>42</v>
      </c>
      <c r="G41">
        <v>0.15781727491488476</v>
      </c>
      <c r="H41">
        <v>5.5861139021888294E-2</v>
      </c>
      <c r="I41">
        <v>4.1247107872379327E-2</v>
      </c>
    </row>
    <row r="42" spans="1:9" x14ac:dyDescent="0.2">
      <c r="A42" t="s">
        <v>43</v>
      </c>
      <c r="B42">
        <v>0.17138801676410775</v>
      </c>
      <c r="C42">
        <v>8.2405691256364988E-2</v>
      </c>
      <c r="D42">
        <v>8.7546863620557733E-2</v>
      </c>
      <c r="F42" t="s">
        <v>43</v>
      </c>
      <c r="G42">
        <v>0.15781727491488476</v>
      </c>
      <c r="H42">
        <v>5.2731097920377737E-2</v>
      </c>
      <c r="I42">
        <v>9.4392165146525611E-2</v>
      </c>
    </row>
    <row r="43" spans="1:9" x14ac:dyDescent="0.2">
      <c r="A43" t="s">
        <v>44</v>
      </c>
      <c r="F43" t="s">
        <v>44</v>
      </c>
    </row>
    <row r="44" spans="1:9" x14ac:dyDescent="0.2">
      <c r="A44" t="s">
        <v>45</v>
      </c>
      <c r="F44" t="s">
        <v>45</v>
      </c>
    </row>
  </sheetData>
  <mergeCells count="2">
    <mergeCell ref="A1:D1"/>
    <mergeCell ref="F1:I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C073D-BF3A-F841-80AD-8E4D93038EC6}">
  <dimension ref="A1:Q27"/>
  <sheetViews>
    <sheetView topLeftCell="C1" workbookViewId="0">
      <selection activeCell="Q3" sqref="Q3"/>
    </sheetView>
  </sheetViews>
  <sheetFormatPr baseColWidth="10" defaultRowHeight="16" x14ac:dyDescent="0.2"/>
  <sheetData>
    <row r="1" spans="1:17" x14ac:dyDescent="0.2">
      <c r="A1" t="s">
        <v>75</v>
      </c>
    </row>
    <row r="2" spans="1:17" x14ac:dyDescent="0.2">
      <c r="A2" t="s">
        <v>195</v>
      </c>
      <c r="B2">
        <v>0</v>
      </c>
      <c r="C2">
        <v>3</v>
      </c>
      <c r="D2">
        <v>6</v>
      </c>
      <c r="E2">
        <v>9</v>
      </c>
      <c r="F2">
        <v>12</v>
      </c>
      <c r="G2">
        <v>15</v>
      </c>
      <c r="H2">
        <v>18</v>
      </c>
      <c r="I2">
        <v>21</v>
      </c>
      <c r="J2">
        <v>24</v>
      </c>
      <c r="K2">
        <v>27</v>
      </c>
      <c r="L2">
        <v>30</v>
      </c>
      <c r="M2">
        <v>33</v>
      </c>
      <c r="N2">
        <v>36</v>
      </c>
      <c r="O2">
        <v>39</v>
      </c>
      <c r="Q2" t="s">
        <v>359</v>
      </c>
    </row>
    <row r="3" spans="1:17" x14ac:dyDescent="0.2">
      <c r="A3" t="s">
        <v>352</v>
      </c>
      <c r="B3">
        <v>12.5</v>
      </c>
      <c r="C3">
        <v>12.5</v>
      </c>
      <c r="D3">
        <v>12.5</v>
      </c>
      <c r="E3">
        <v>12.5</v>
      </c>
      <c r="F3">
        <v>11.6</v>
      </c>
      <c r="G3">
        <v>11.6</v>
      </c>
      <c r="H3">
        <v>12.1</v>
      </c>
      <c r="I3">
        <v>12.1</v>
      </c>
      <c r="J3">
        <v>12.1</v>
      </c>
      <c r="K3">
        <v>12.5</v>
      </c>
      <c r="L3">
        <v>12.5</v>
      </c>
      <c r="M3">
        <v>12.5</v>
      </c>
      <c r="N3">
        <v>12.5</v>
      </c>
      <c r="O3">
        <v>12.5</v>
      </c>
      <c r="Q3">
        <f>39.2785571142285/(10^3)</f>
        <v>3.92785571142285E-2</v>
      </c>
    </row>
    <row r="4" spans="1:17" x14ac:dyDescent="0.2">
      <c r="A4" t="s">
        <v>353</v>
      </c>
      <c r="B4" s="16">
        <f>B3*0.7034-0.1421</f>
        <v>8.6504000000000012</v>
      </c>
      <c r="C4" s="16">
        <f t="shared" ref="C4:O4" si="0">C3*0.7034-0.1421</f>
        <v>8.6504000000000012</v>
      </c>
      <c r="D4" s="16">
        <f t="shared" si="0"/>
        <v>8.6504000000000012</v>
      </c>
      <c r="E4" s="16">
        <f t="shared" si="0"/>
        <v>8.6504000000000012</v>
      </c>
      <c r="F4" s="16">
        <f t="shared" si="0"/>
        <v>8.0173400000000008</v>
      </c>
      <c r="G4" s="16">
        <f t="shared" si="0"/>
        <v>8.0173400000000008</v>
      </c>
      <c r="H4" s="16">
        <f t="shared" si="0"/>
        <v>8.36904</v>
      </c>
      <c r="I4" s="16">
        <f t="shared" si="0"/>
        <v>8.36904</v>
      </c>
      <c r="J4" s="16">
        <f t="shared" si="0"/>
        <v>8.36904</v>
      </c>
      <c r="K4" s="16">
        <f t="shared" si="0"/>
        <v>8.6504000000000012</v>
      </c>
      <c r="L4" s="16">
        <f t="shared" si="0"/>
        <v>8.6504000000000012</v>
      </c>
      <c r="M4" s="16">
        <f t="shared" si="0"/>
        <v>8.6504000000000012</v>
      </c>
      <c r="N4" s="16">
        <f t="shared" si="0"/>
        <v>8.6504000000000012</v>
      </c>
      <c r="O4" s="16">
        <f t="shared" si="0"/>
        <v>8.6504000000000012</v>
      </c>
    </row>
    <row r="5" spans="1:17" x14ac:dyDescent="0.2">
      <c r="B5">
        <v>8.6504000000000012</v>
      </c>
    </row>
    <row r="7" spans="1:17" x14ac:dyDescent="0.2">
      <c r="A7" t="s">
        <v>52</v>
      </c>
    </row>
    <row r="8" spans="1:17" x14ac:dyDescent="0.2">
      <c r="A8" t="s">
        <v>195</v>
      </c>
    </row>
    <row r="9" spans="1:17" x14ac:dyDescent="0.2">
      <c r="A9" t="s">
        <v>352</v>
      </c>
      <c r="B9">
        <v>12.5</v>
      </c>
      <c r="C9">
        <v>12.5</v>
      </c>
      <c r="D9">
        <v>12.5</v>
      </c>
      <c r="E9">
        <v>12.5</v>
      </c>
      <c r="F9">
        <v>12.5</v>
      </c>
      <c r="G9">
        <v>12.5</v>
      </c>
      <c r="H9">
        <v>11.6</v>
      </c>
      <c r="I9">
        <v>11.6</v>
      </c>
      <c r="J9">
        <v>11.6</v>
      </c>
      <c r="K9">
        <v>11.6</v>
      </c>
      <c r="L9">
        <v>11.6</v>
      </c>
      <c r="M9">
        <v>12.1</v>
      </c>
      <c r="N9">
        <v>12.5</v>
      </c>
      <c r="O9">
        <v>12.5</v>
      </c>
    </row>
    <row r="10" spans="1:17" x14ac:dyDescent="0.2">
      <c r="A10" t="s">
        <v>353</v>
      </c>
      <c r="B10" s="38">
        <f>B9*0.7034-0.1421</f>
        <v>8.6504000000000012</v>
      </c>
      <c r="C10" s="38">
        <f t="shared" ref="C10" si="1">C9*0.7034-0.1421</f>
        <v>8.6504000000000012</v>
      </c>
      <c r="D10" s="38">
        <f t="shared" ref="D10" si="2">D9*0.7034-0.1421</f>
        <v>8.6504000000000012</v>
      </c>
      <c r="E10" s="38">
        <f t="shared" ref="E10:G10" si="3">E9*0.7034-0.1421</f>
        <v>8.6504000000000012</v>
      </c>
      <c r="F10" s="38">
        <f t="shared" si="3"/>
        <v>8.6504000000000012</v>
      </c>
      <c r="G10" s="38">
        <f t="shared" si="3"/>
        <v>8.6504000000000012</v>
      </c>
      <c r="H10" s="38">
        <f t="shared" ref="H10" si="4">H9*0.7034-0.1421</f>
        <v>8.0173400000000008</v>
      </c>
      <c r="I10" s="38">
        <f t="shared" ref="I10" si="5">I9*0.7034-0.1421</f>
        <v>8.0173400000000008</v>
      </c>
      <c r="J10" s="38">
        <f t="shared" ref="J10" si="6">J9*0.7034-0.1421</f>
        <v>8.0173400000000008</v>
      </c>
      <c r="K10" s="38">
        <f t="shared" ref="K10" si="7">K9*0.7034-0.1421</f>
        <v>8.0173400000000008</v>
      </c>
      <c r="L10" s="38">
        <f t="shared" ref="L10" si="8">L9*0.7034-0.1421</f>
        <v>8.0173400000000008</v>
      </c>
      <c r="M10" s="38">
        <f t="shared" ref="M10" si="9">M9*0.7034-0.1421</f>
        <v>8.36904</v>
      </c>
      <c r="N10" s="38">
        <f t="shared" ref="N10" si="10">N9*0.7034-0.1421</f>
        <v>8.6504000000000012</v>
      </c>
      <c r="O10" s="38">
        <f t="shared" ref="O10" si="11">O9*0.7034-0.1421</f>
        <v>8.6504000000000012</v>
      </c>
    </row>
    <row r="15" spans="1:17" x14ac:dyDescent="0.2">
      <c r="A15" t="s">
        <v>357</v>
      </c>
      <c r="B15" t="s">
        <v>358</v>
      </c>
    </row>
    <row r="16" spans="1:17" x14ac:dyDescent="0.2">
      <c r="A16" s="39">
        <v>1</v>
      </c>
      <c r="B16" s="40">
        <v>17.5</v>
      </c>
      <c r="C16" s="16">
        <f>B16*0.7034-0.1421</f>
        <v>12.167400000000001</v>
      </c>
      <c r="D16" s="44"/>
    </row>
    <row r="17" spans="1:3" x14ac:dyDescent="0.2">
      <c r="A17" s="41">
        <v>2</v>
      </c>
      <c r="B17" s="40">
        <v>16.202666666666666</v>
      </c>
      <c r="C17" s="16">
        <f t="shared" ref="C17:C27" si="12">B17*0.7034-0.1421</f>
        <v>11.254855733333335</v>
      </c>
    </row>
    <row r="18" spans="1:3" x14ac:dyDescent="0.2">
      <c r="A18" s="42">
        <v>3</v>
      </c>
      <c r="B18" s="40">
        <v>15.001508977777778</v>
      </c>
      <c r="C18" s="16">
        <f t="shared" si="12"/>
        <v>10.40996141496889</v>
      </c>
    </row>
    <row r="19" spans="1:3" x14ac:dyDescent="0.2">
      <c r="A19" s="41">
        <v>4</v>
      </c>
      <c r="B19" s="40">
        <v>13.889397112225186</v>
      </c>
      <c r="C19" s="16">
        <f t="shared" si="12"/>
        <v>9.6277019287391976</v>
      </c>
    </row>
    <row r="20" spans="1:3" x14ac:dyDescent="0.2">
      <c r="A20" s="42">
        <v>5</v>
      </c>
      <c r="B20" s="40">
        <v>12.859729806305559</v>
      </c>
      <c r="C20" s="16">
        <f t="shared" si="12"/>
        <v>8.9034339457553315</v>
      </c>
    </row>
    <row r="21" spans="1:3" x14ac:dyDescent="0.2">
      <c r="A21" s="41">
        <v>6</v>
      </c>
      <c r="B21" s="40">
        <v>11.906395169998106</v>
      </c>
      <c r="C21" s="16">
        <f t="shared" si="12"/>
        <v>8.2328583625766694</v>
      </c>
    </row>
    <row r="22" spans="1:3" x14ac:dyDescent="0.2">
      <c r="A22" s="42">
        <v>7</v>
      </c>
      <c r="B22" s="40">
        <v>11.023734408062248</v>
      </c>
      <c r="C22" s="16">
        <f t="shared" si="12"/>
        <v>7.6119947826309859</v>
      </c>
    </row>
    <row r="23" spans="1:3" x14ac:dyDescent="0.2">
      <c r="A23" s="41">
        <v>8</v>
      </c>
      <c r="B23" s="40">
        <v>10.206508230611234</v>
      </c>
      <c r="C23" s="16">
        <f t="shared" si="12"/>
        <v>7.0371578894119429</v>
      </c>
    </row>
    <row r="24" spans="1:3" x14ac:dyDescent="0.2">
      <c r="A24" s="41">
        <v>9</v>
      </c>
      <c r="B24" s="40">
        <v>9.4498657537819231</v>
      </c>
      <c r="C24" s="16">
        <f t="shared" si="12"/>
        <v>6.504935571210205</v>
      </c>
    </row>
    <row r="25" spans="1:3" x14ac:dyDescent="0.2">
      <c r="A25" s="41">
        <v>10</v>
      </c>
      <c r="B25" s="40">
        <v>8.7493157059015569</v>
      </c>
      <c r="C25" s="16">
        <f t="shared" si="12"/>
        <v>6.0121686675311556</v>
      </c>
    </row>
    <row r="26" spans="1:3" x14ac:dyDescent="0.2">
      <c r="A26" s="41">
        <v>11</v>
      </c>
      <c r="B26" s="40">
        <v>8.1006997682373871</v>
      </c>
      <c r="C26" s="16">
        <f t="shared" si="12"/>
        <v>5.555932216978178</v>
      </c>
    </row>
    <row r="27" spans="1:3" x14ac:dyDescent="0.2">
      <c r="A27" s="43">
        <v>12</v>
      </c>
      <c r="B27" s="40">
        <v>7.5001678920853898</v>
      </c>
      <c r="C27" s="16">
        <f t="shared" si="12"/>
        <v>5.133518095292863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B9A-AAB5-2447-98CD-D8DC8DF9BAC9}">
  <dimension ref="A1:Q47"/>
  <sheetViews>
    <sheetView workbookViewId="0">
      <selection activeCell="H9" sqref="H9"/>
    </sheetView>
  </sheetViews>
  <sheetFormatPr baseColWidth="10" defaultRowHeight="16" x14ac:dyDescent="0.2"/>
  <sheetData>
    <row r="1" spans="1:17" x14ac:dyDescent="0.2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I1" t="s">
        <v>257</v>
      </c>
      <c r="J1" t="s">
        <v>258</v>
      </c>
      <c r="K1" t="s">
        <v>259</v>
      </c>
      <c r="L1" t="s">
        <v>260</v>
      </c>
      <c r="M1" t="s">
        <v>76</v>
      </c>
      <c r="N1" t="s">
        <v>261</v>
      </c>
      <c r="O1" t="s">
        <v>262</v>
      </c>
      <c r="P1" t="s">
        <v>156</v>
      </c>
      <c r="Q1" t="s">
        <v>263</v>
      </c>
    </row>
    <row r="2" spans="1:17" x14ac:dyDescent="0.2">
      <c r="A2" t="s">
        <v>75</v>
      </c>
      <c r="B2" t="s">
        <v>6</v>
      </c>
      <c r="C2">
        <v>43388</v>
      </c>
      <c r="D2">
        <v>4.5</v>
      </c>
      <c r="E2" t="s">
        <v>292</v>
      </c>
      <c r="F2">
        <v>175</v>
      </c>
      <c r="G2">
        <v>1.381824336</v>
      </c>
      <c r="H2">
        <v>5.8791696999999997E-2</v>
      </c>
      <c r="I2">
        <v>1.361960093</v>
      </c>
      <c r="J2">
        <v>3.4541699999999999E-3</v>
      </c>
      <c r="K2">
        <v>17.5</v>
      </c>
      <c r="L2" t="s">
        <v>264</v>
      </c>
      <c r="M2" t="e">
        <v>#NUM!</v>
      </c>
      <c r="N2" t="e">
        <v>#NUM!</v>
      </c>
      <c r="O2">
        <v>1</v>
      </c>
      <c r="P2">
        <v>1</v>
      </c>
      <c r="Q2" t="s">
        <v>293</v>
      </c>
    </row>
    <row r="3" spans="1:17" x14ac:dyDescent="0.2">
      <c r="A3" t="s">
        <v>75</v>
      </c>
      <c r="B3" t="s">
        <v>6</v>
      </c>
      <c r="C3">
        <v>43388</v>
      </c>
      <c r="D3">
        <v>4.5</v>
      </c>
      <c r="E3" t="s">
        <v>292</v>
      </c>
      <c r="F3">
        <v>175</v>
      </c>
      <c r="G3">
        <v>1.381824336</v>
      </c>
      <c r="H3">
        <v>5.8791696999999997E-2</v>
      </c>
      <c r="I3">
        <v>1.361960093</v>
      </c>
      <c r="J3">
        <v>3.4541699999999999E-3</v>
      </c>
      <c r="K3">
        <v>16.202666669999999</v>
      </c>
      <c r="L3" t="s">
        <v>265</v>
      </c>
      <c r="M3">
        <v>-0.34633559600000002</v>
      </c>
      <c r="N3">
        <v>1.2506364860000001</v>
      </c>
      <c r="O3">
        <v>1</v>
      </c>
      <c r="P3">
        <v>2</v>
      </c>
      <c r="Q3" t="s">
        <v>293</v>
      </c>
    </row>
    <row r="4" spans="1:17" x14ac:dyDescent="0.2">
      <c r="A4" t="s">
        <v>75</v>
      </c>
      <c r="B4" t="s">
        <v>6</v>
      </c>
      <c r="C4">
        <v>43388</v>
      </c>
      <c r="D4">
        <v>4.5</v>
      </c>
      <c r="E4" t="s">
        <v>292</v>
      </c>
      <c r="F4">
        <v>175</v>
      </c>
      <c r="G4">
        <v>1.381824336</v>
      </c>
      <c r="H4">
        <v>5.8791696999999997E-2</v>
      </c>
      <c r="I4">
        <v>1.361960093</v>
      </c>
      <c r="J4">
        <v>3.4541699999999999E-3</v>
      </c>
      <c r="K4">
        <v>15.001508980000001</v>
      </c>
      <c r="L4" t="s">
        <v>266</v>
      </c>
      <c r="M4">
        <v>-0.38945809199999998</v>
      </c>
      <c r="N4">
        <v>1.2818434160000001</v>
      </c>
      <c r="O4">
        <v>1</v>
      </c>
      <c r="P4">
        <v>3</v>
      </c>
      <c r="Q4" t="s">
        <v>293</v>
      </c>
    </row>
    <row r="5" spans="1:17" x14ac:dyDescent="0.2">
      <c r="A5" t="s">
        <v>75</v>
      </c>
      <c r="B5" t="s">
        <v>6</v>
      </c>
      <c r="C5">
        <v>43388</v>
      </c>
      <c r="D5">
        <v>4.5</v>
      </c>
      <c r="E5" t="s">
        <v>292</v>
      </c>
      <c r="F5">
        <v>175</v>
      </c>
      <c r="G5">
        <v>1.381824336</v>
      </c>
      <c r="H5">
        <v>5.8791696999999997E-2</v>
      </c>
      <c r="I5">
        <v>1.361960093</v>
      </c>
      <c r="J5">
        <v>3.4541699999999999E-3</v>
      </c>
      <c r="K5">
        <v>13.889397110000001</v>
      </c>
      <c r="L5" t="s">
        <v>267</v>
      </c>
      <c r="M5">
        <v>-0.62020631900000001</v>
      </c>
      <c r="N5">
        <v>1.448831521</v>
      </c>
      <c r="O5">
        <v>1</v>
      </c>
      <c r="P5">
        <v>4</v>
      </c>
      <c r="Q5" t="s">
        <v>293</v>
      </c>
    </row>
    <row r="6" spans="1:17" x14ac:dyDescent="0.2">
      <c r="A6" t="s">
        <v>75</v>
      </c>
      <c r="B6" t="s">
        <v>6</v>
      </c>
      <c r="C6">
        <v>43388</v>
      </c>
      <c r="D6">
        <v>4.5</v>
      </c>
      <c r="E6" t="s">
        <v>292</v>
      </c>
      <c r="F6">
        <v>175</v>
      </c>
      <c r="G6">
        <v>1.381824336</v>
      </c>
      <c r="H6">
        <v>5.8791696999999997E-2</v>
      </c>
      <c r="I6">
        <v>1.361960093</v>
      </c>
      <c r="J6">
        <v>3.4541699999999999E-3</v>
      </c>
      <c r="K6">
        <v>12.859729809999999</v>
      </c>
      <c r="L6" t="s">
        <v>268</v>
      </c>
      <c r="M6">
        <v>-0.167292988</v>
      </c>
      <c r="N6">
        <v>1.1210667540000001</v>
      </c>
      <c r="O6">
        <v>1</v>
      </c>
      <c r="P6">
        <v>5</v>
      </c>
      <c r="Q6" t="s">
        <v>293</v>
      </c>
    </row>
    <row r="7" spans="1:17" x14ac:dyDescent="0.2">
      <c r="A7" t="s">
        <v>75</v>
      </c>
      <c r="B7" t="s">
        <v>6</v>
      </c>
      <c r="C7">
        <v>43388</v>
      </c>
      <c r="D7">
        <v>4.5</v>
      </c>
      <c r="E7" t="s">
        <v>292</v>
      </c>
      <c r="F7">
        <v>175</v>
      </c>
      <c r="G7">
        <v>1.381824336</v>
      </c>
      <c r="H7">
        <v>5.8791696999999997E-2</v>
      </c>
      <c r="I7">
        <v>1.361960093</v>
      </c>
      <c r="J7">
        <v>3.4541699999999999E-3</v>
      </c>
      <c r="K7">
        <v>11.90639517</v>
      </c>
      <c r="L7" t="s">
        <v>269</v>
      </c>
      <c r="M7">
        <v>0.95551715400000004</v>
      </c>
      <c r="N7">
        <v>0.30851040200000002</v>
      </c>
      <c r="O7">
        <v>0.30851040200000002</v>
      </c>
      <c r="P7">
        <v>6</v>
      </c>
      <c r="Q7" t="s">
        <v>293</v>
      </c>
    </row>
    <row r="8" spans="1:17" x14ac:dyDescent="0.2">
      <c r="A8" t="s">
        <v>75</v>
      </c>
      <c r="B8" t="s">
        <v>6</v>
      </c>
      <c r="C8">
        <v>43388</v>
      </c>
      <c r="D8">
        <v>4.5</v>
      </c>
      <c r="E8" t="s">
        <v>292</v>
      </c>
      <c r="F8">
        <v>175</v>
      </c>
      <c r="G8">
        <v>1.381824336</v>
      </c>
      <c r="H8">
        <v>5.8791696999999997E-2</v>
      </c>
      <c r="I8">
        <v>1.361960093</v>
      </c>
      <c r="J8">
        <v>3.4541699999999999E-3</v>
      </c>
      <c r="K8">
        <v>11.023734409999999</v>
      </c>
      <c r="L8" t="s">
        <v>270</v>
      </c>
      <c r="M8">
        <v>1.065413849</v>
      </c>
      <c r="N8">
        <v>0.22898025399999999</v>
      </c>
      <c r="O8">
        <v>0.22898025399999999</v>
      </c>
      <c r="P8">
        <v>7</v>
      </c>
      <c r="Q8" t="s">
        <v>293</v>
      </c>
    </row>
    <row r="9" spans="1:17" x14ac:dyDescent="0.2">
      <c r="A9" t="s">
        <v>75</v>
      </c>
      <c r="B9" t="s">
        <v>6</v>
      </c>
      <c r="C9">
        <v>43388</v>
      </c>
      <c r="D9">
        <v>4.5</v>
      </c>
      <c r="E9" t="s">
        <v>292</v>
      </c>
      <c r="F9">
        <v>175</v>
      </c>
      <c r="G9">
        <v>1.381824336</v>
      </c>
      <c r="H9">
        <v>5.8791696999999997E-2</v>
      </c>
      <c r="I9">
        <v>1.361960093</v>
      </c>
      <c r="J9">
        <v>3.4541699999999999E-3</v>
      </c>
      <c r="K9">
        <v>10.206508230000001</v>
      </c>
      <c r="L9" t="s">
        <v>271</v>
      </c>
      <c r="M9">
        <v>1.1267155010000001</v>
      </c>
      <c r="N9">
        <v>0.18461741400000001</v>
      </c>
      <c r="O9">
        <v>0.18461741400000001</v>
      </c>
      <c r="P9">
        <v>8</v>
      </c>
      <c r="Q9" t="s">
        <v>293</v>
      </c>
    </row>
    <row r="10" spans="1:17" x14ac:dyDescent="0.2">
      <c r="A10" t="s">
        <v>75</v>
      </c>
      <c r="B10" t="s">
        <v>6</v>
      </c>
      <c r="C10">
        <v>43388</v>
      </c>
      <c r="D10">
        <v>4.5</v>
      </c>
      <c r="E10" t="s">
        <v>292</v>
      </c>
      <c r="F10">
        <v>175</v>
      </c>
      <c r="G10">
        <v>1.381824336</v>
      </c>
      <c r="H10">
        <v>5.8791696999999997E-2</v>
      </c>
      <c r="I10">
        <v>1.361960093</v>
      </c>
      <c r="J10">
        <v>3.4541699999999999E-3</v>
      </c>
      <c r="K10">
        <v>9.4498657539999993</v>
      </c>
      <c r="L10" t="s">
        <v>272</v>
      </c>
      <c r="M10">
        <v>1.2972321659999999</v>
      </c>
      <c r="N10">
        <v>6.1217744999999997E-2</v>
      </c>
      <c r="O10">
        <v>6.1217744999999997E-2</v>
      </c>
      <c r="P10">
        <v>9</v>
      </c>
      <c r="Q10" t="s">
        <v>293</v>
      </c>
    </row>
    <row r="11" spans="1:17" x14ac:dyDescent="0.2">
      <c r="A11" t="s">
        <v>75</v>
      </c>
      <c r="B11" t="s">
        <v>6</v>
      </c>
      <c r="C11">
        <v>43388</v>
      </c>
      <c r="D11">
        <v>4.5</v>
      </c>
      <c r="E11" t="s">
        <v>292</v>
      </c>
      <c r="F11">
        <v>175</v>
      </c>
      <c r="G11">
        <v>1.381824336</v>
      </c>
      <c r="H11">
        <v>5.8791696999999997E-2</v>
      </c>
      <c r="I11">
        <v>1.361960093</v>
      </c>
      <c r="J11">
        <v>3.4541699999999999E-3</v>
      </c>
      <c r="K11">
        <v>8.7493157060000009</v>
      </c>
      <c r="L11" t="s">
        <v>273</v>
      </c>
      <c r="M11">
        <v>1.3836543290000001</v>
      </c>
      <c r="N11">
        <v>-1.324331E-3</v>
      </c>
      <c r="O11">
        <v>-1.324331E-3</v>
      </c>
      <c r="P11">
        <v>10</v>
      </c>
      <c r="Q11" t="s">
        <v>293</v>
      </c>
    </row>
    <row r="12" spans="1:17" x14ac:dyDescent="0.2">
      <c r="A12" t="s">
        <v>75</v>
      </c>
      <c r="B12" t="s">
        <v>6</v>
      </c>
      <c r="C12">
        <v>43388</v>
      </c>
      <c r="D12">
        <v>4.5</v>
      </c>
      <c r="E12" t="s">
        <v>292</v>
      </c>
      <c r="F12">
        <v>175</v>
      </c>
      <c r="G12">
        <v>1.381824336</v>
      </c>
      <c r="H12">
        <v>5.8791696999999997E-2</v>
      </c>
      <c r="I12">
        <v>1.361960093</v>
      </c>
      <c r="J12">
        <v>3.4541699999999999E-3</v>
      </c>
      <c r="K12">
        <v>8.1006997680000001</v>
      </c>
      <c r="L12" t="s">
        <v>274</v>
      </c>
      <c r="M12">
        <v>1.3280210219999999</v>
      </c>
      <c r="N12">
        <v>3.8936435999999998E-2</v>
      </c>
      <c r="O12">
        <v>3.8936435999999998E-2</v>
      </c>
      <c r="P12">
        <v>11</v>
      </c>
      <c r="Q12" t="s">
        <v>293</v>
      </c>
    </row>
    <row r="13" spans="1:17" x14ac:dyDescent="0.2">
      <c r="A13" t="s">
        <v>75</v>
      </c>
      <c r="B13" t="s">
        <v>6</v>
      </c>
      <c r="C13">
        <v>43388</v>
      </c>
      <c r="D13">
        <v>4.5</v>
      </c>
      <c r="E13" t="s">
        <v>292</v>
      </c>
      <c r="F13">
        <v>175</v>
      </c>
      <c r="G13">
        <v>1.381824336</v>
      </c>
      <c r="H13">
        <v>5.8791696999999997E-2</v>
      </c>
      <c r="I13">
        <v>1.361960093</v>
      </c>
      <c r="J13">
        <v>3.4541699999999999E-3</v>
      </c>
      <c r="K13">
        <v>7.5001678920000003</v>
      </c>
      <c r="L13" t="s">
        <v>275</v>
      </c>
      <c r="M13">
        <v>1.4265373349999999</v>
      </c>
      <c r="N13">
        <v>-3.2357947999999997E-2</v>
      </c>
      <c r="O13">
        <v>-3.2357947999999997E-2</v>
      </c>
      <c r="P13">
        <v>12</v>
      </c>
      <c r="Q13" t="s">
        <v>293</v>
      </c>
    </row>
    <row r="14" spans="1:17" x14ac:dyDescent="0.2">
      <c r="A14" t="s">
        <v>75</v>
      </c>
      <c r="B14" t="s">
        <v>6</v>
      </c>
      <c r="C14">
        <v>43388</v>
      </c>
      <c r="D14">
        <v>4.5</v>
      </c>
      <c r="E14" t="s">
        <v>292</v>
      </c>
      <c r="F14">
        <v>175</v>
      </c>
      <c r="G14">
        <v>1.381824336</v>
      </c>
      <c r="H14">
        <v>5.8791696999999997E-2</v>
      </c>
      <c r="I14">
        <v>1.361960093</v>
      </c>
      <c r="J14">
        <v>3.4541699999999999E-3</v>
      </c>
      <c r="K14">
        <v>15.001508980000001</v>
      </c>
      <c r="L14" t="s">
        <v>276</v>
      </c>
      <c r="M14">
        <v>-0.59364485499999997</v>
      </c>
      <c r="N14">
        <v>1.429609495</v>
      </c>
      <c r="O14">
        <v>1</v>
      </c>
      <c r="P14">
        <v>3</v>
      </c>
      <c r="Q14" t="s">
        <v>293</v>
      </c>
    </row>
    <row r="15" spans="1:17" x14ac:dyDescent="0.2">
      <c r="A15" t="s">
        <v>75</v>
      </c>
      <c r="B15" t="s">
        <v>6</v>
      </c>
      <c r="C15">
        <v>43388</v>
      </c>
      <c r="D15">
        <v>4.5</v>
      </c>
      <c r="E15" t="s">
        <v>292</v>
      </c>
      <c r="F15">
        <v>175</v>
      </c>
      <c r="G15">
        <v>1.381824336</v>
      </c>
      <c r="H15">
        <v>5.8791696999999997E-2</v>
      </c>
      <c r="I15">
        <v>1.361960093</v>
      </c>
      <c r="J15">
        <v>3.4541699999999999E-3</v>
      </c>
      <c r="K15">
        <v>12.859729809999999</v>
      </c>
      <c r="L15" t="s">
        <v>277</v>
      </c>
      <c r="M15">
        <v>0.81657804099999998</v>
      </c>
      <c r="N15">
        <v>0.40905799700000001</v>
      </c>
      <c r="O15">
        <v>0.40905799700000001</v>
      </c>
      <c r="P15">
        <v>5</v>
      </c>
      <c r="Q15" t="s">
        <v>293</v>
      </c>
    </row>
    <row r="16" spans="1:17" x14ac:dyDescent="0.2">
      <c r="A16" t="s">
        <v>75</v>
      </c>
      <c r="B16" t="s">
        <v>6</v>
      </c>
      <c r="C16">
        <v>43388</v>
      </c>
      <c r="D16">
        <v>4.5</v>
      </c>
      <c r="E16" t="s">
        <v>292</v>
      </c>
      <c r="F16">
        <v>175</v>
      </c>
      <c r="G16">
        <v>1.381824336</v>
      </c>
      <c r="H16">
        <v>5.8791696999999997E-2</v>
      </c>
      <c r="I16">
        <v>1.361960093</v>
      </c>
      <c r="J16">
        <v>3.4541699999999999E-3</v>
      </c>
      <c r="K16">
        <v>11.023734409999999</v>
      </c>
      <c r="L16" t="s">
        <v>278</v>
      </c>
      <c r="M16">
        <v>1.131098113</v>
      </c>
      <c r="N16">
        <v>0.18144580099999999</v>
      </c>
      <c r="O16">
        <v>0.18144580099999999</v>
      </c>
      <c r="P16">
        <v>7</v>
      </c>
      <c r="Q16" t="s">
        <v>293</v>
      </c>
    </row>
    <row r="17" spans="1:17" x14ac:dyDescent="0.2">
      <c r="A17" t="s">
        <v>75</v>
      </c>
      <c r="B17" t="s">
        <v>6</v>
      </c>
      <c r="C17">
        <v>43388</v>
      </c>
      <c r="D17">
        <v>4.5</v>
      </c>
      <c r="E17" t="s">
        <v>292</v>
      </c>
      <c r="F17">
        <v>175</v>
      </c>
      <c r="G17">
        <v>1.381824336</v>
      </c>
      <c r="H17">
        <v>5.8791696999999997E-2</v>
      </c>
      <c r="I17">
        <v>1.361960093</v>
      </c>
      <c r="J17">
        <v>3.4541699999999999E-3</v>
      </c>
      <c r="K17">
        <v>15.001508980000001</v>
      </c>
      <c r="L17" t="s">
        <v>279</v>
      </c>
      <c r="M17">
        <v>-0.106901385</v>
      </c>
      <c r="N17">
        <v>1.0773625</v>
      </c>
      <c r="O17">
        <v>1</v>
      </c>
      <c r="P17">
        <v>3</v>
      </c>
      <c r="Q17" t="s">
        <v>293</v>
      </c>
    </row>
    <row r="18" spans="1:17" x14ac:dyDescent="0.2">
      <c r="A18" t="s">
        <v>75</v>
      </c>
      <c r="B18" t="s">
        <v>6</v>
      </c>
      <c r="C18">
        <v>43388</v>
      </c>
      <c r="D18">
        <v>4.5</v>
      </c>
      <c r="E18" t="s">
        <v>292</v>
      </c>
      <c r="F18">
        <v>175</v>
      </c>
      <c r="G18">
        <v>1.381824336</v>
      </c>
      <c r="H18">
        <v>5.8791696999999997E-2</v>
      </c>
      <c r="I18">
        <v>1.361960093</v>
      </c>
      <c r="J18">
        <v>3.4541699999999999E-3</v>
      </c>
      <c r="K18">
        <v>12.859729809999999</v>
      </c>
      <c r="L18" t="s">
        <v>280</v>
      </c>
      <c r="M18">
        <v>0.40405158600000002</v>
      </c>
      <c r="N18">
        <v>0.70759554899999999</v>
      </c>
      <c r="O18">
        <v>0.70759554899999999</v>
      </c>
      <c r="P18">
        <v>5</v>
      </c>
      <c r="Q18" t="s">
        <v>293</v>
      </c>
    </row>
    <row r="19" spans="1:17" x14ac:dyDescent="0.2">
      <c r="A19" t="s">
        <v>75</v>
      </c>
      <c r="B19" t="s">
        <v>6</v>
      </c>
      <c r="C19">
        <v>43388</v>
      </c>
      <c r="D19">
        <v>4.5</v>
      </c>
      <c r="E19" t="s">
        <v>292</v>
      </c>
      <c r="F19">
        <v>175</v>
      </c>
      <c r="G19">
        <v>1.381824336</v>
      </c>
      <c r="H19">
        <v>5.8791696999999997E-2</v>
      </c>
      <c r="I19">
        <v>1.361960093</v>
      </c>
      <c r="J19">
        <v>3.4541699999999999E-3</v>
      </c>
      <c r="K19">
        <v>11.023734409999999</v>
      </c>
      <c r="L19" t="s">
        <v>281</v>
      </c>
      <c r="M19">
        <v>0.90401991900000001</v>
      </c>
      <c r="N19">
        <v>0.34577797199999999</v>
      </c>
      <c r="O19">
        <v>0.34577797199999999</v>
      </c>
      <c r="P19">
        <v>7</v>
      </c>
      <c r="Q19" t="s">
        <v>293</v>
      </c>
    </row>
    <row r="20" spans="1:17" x14ac:dyDescent="0.2">
      <c r="A20" t="s">
        <v>75</v>
      </c>
      <c r="B20" t="s">
        <v>6</v>
      </c>
      <c r="C20">
        <v>43388</v>
      </c>
      <c r="D20">
        <v>4.5</v>
      </c>
      <c r="E20" t="s">
        <v>292</v>
      </c>
      <c r="F20">
        <v>175</v>
      </c>
      <c r="G20">
        <v>1.381824336</v>
      </c>
      <c r="H20">
        <v>5.8791696999999997E-2</v>
      </c>
      <c r="I20">
        <v>1.361960093</v>
      </c>
      <c r="J20">
        <v>3.4541699999999999E-3</v>
      </c>
      <c r="K20">
        <v>0</v>
      </c>
      <c r="L20" t="s">
        <v>282</v>
      </c>
      <c r="M20">
        <v>1.3331401620000001</v>
      </c>
      <c r="N20">
        <v>3.5231811000000002E-2</v>
      </c>
      <c r="O20">
        <v>3.5231811000000002E-2</v>
      </c>
      <c r="P20" t="s">
        <v>283</v>
      </c>
      <c r="Q20" t="s">
        <v>293</v>
      </c>
    </row>
    <row r="21" spans="1:17" x14ac:dyDescent="0.2">
      <c r="A21" t="s">
        <v>75</v>
      </c>
      <c r="B21" t="s">
        <v>6</v>
      </c>
      <c r="C21">
        <v>43388</v>
      </c>
      <c r="D21">
        <v>4.5</v>
      </c>
      <c r="E21" t="s">
        <v>292</v>
      </c>
      <c r="F21">
        <v>175</v>
      </c>
      <c r="G21">
        <v>1.381824336</v>
      </c>
      <c r="H21">
        <v>5.8791696999999997E-2</v>
      </c>
      <c r="I21">
        <v>1.361960093</v>
      </c>
      <c r="J21">
        <v>3.4541699999999999E-3</v>
      </c>
      <c r="K21">
        <v>0</v>
      </c>
      <c r="L21" t="s">
        <v>284</v>
      </c>
      <c r="M21">
        <v>1.400523679</v>
      </c>
      <c r="N21">
        <v>-1.3532359000000001E-2</v>
      </c>
      <c r="O21">
        <v>-1.3532359000000001E-2</v>
      </c>
      <c r="P21" t="s">
        <v>285</v>
      </c>
      <c r="Q21" t="s">
        <v>293</v>
      </c>
    </row>
    <row r="22" spans="1:17" x14ac:dyDescent="0.2">
      <c r="A22" t="s">
        <v>75</v>
      </c>
      <c r="B22" t="s">
        <v>6</v>
      </c>
      <c r="C22">
        <v>43388</v>
      </c>
      <c r="D22">
        <v>4.5</v>
      </c>
      <c r="E22" t="s">
        <v>292</v>
      </c>
      <c r="F22">
        <v>175</v>
      </c>
      <c r="G22">
        <v>1.381824336</v>
      </c>
      <c r="H22">
        <v>5.8791696999999997E-2</v>
      </c>
      <c r="I22">
        <v>1.361960093</v>
      </c>
      <c r="J22">
        <v>3.4541699999999999E-3</v>
      </c>
      <c r="K22">
        <v>0</v>
      </c>
      <c r="L22" t="s">
        <v>286</v>
      </c>
      <c r="M22">
        <v>1.2709670559999999</v>
      </c>
      <c r="N22">
        <v>8.0225305999999996E-2</v>
      </c>
      <c r="O22">
        <v>8.0225305999999996E-2</v>
      </c>
      <c r="P22" t="s">
        <v>287</v>
      </c>
      <c r="Q22" t="s">
        <v>293</v>
      </c>
    </row>
    <row r="23" spans="1:17" x14ac:dyDescent="0.2">
      <c r="A23" t="s">
        <v>75</v>
      </c>
      <c r="B23" t="s">
        <v>6</v>
      </c>
      <c r="C23">
        <v>43388</v>
      </c>
      <c r="D23">
        <v>4.5</v>
      </c>
      <c r="E23" t="s">
        <v>292</v>
      </c>
      <c r="F23">
        <v>175</v>
      </c>
      <c r="G23">
        <v>1.381824336</v>
      </c>
      <c r="H23">
        <v>5.8791696999999997E-2</v>
      </c>
      <c r="I23">
        <v>1.361960093</v>
      </c>
      <c r="J23">
        <v>3.4541699999999999E-3</v>
      </c>
      <c r="K23">
        <v>0</v>
      </c>
      <c r="L23" t="s">
        <v>288</v>
      </c>
      <c r="M23">
        <v>1.409957288</v>
      </c>
      <c r="N23">
        <v>-2.0359282999999999E-2</v>
      </c>
      <c r="O23">
        <v>-2.0359282999999999E-2</v>
      </c>
      <c r="P23" t="s">
        <v>289</v>
      </c>
      <c r="Q23" t="s">
        <v>293</v>
      </c>
    </row>
    <row r="24" spans="1:17" x14ac:dyDescent="0.2">
      <c r="A24" t="s">
        <v>75</v>
      </c>
      <c r="B24" t="s">
        <v>6</v>
      </c>
      <c r="C24">
        <v>43388</v>
      </c>
      <c r="D24">
        <v>4.5</v>
      </c>
      <c r="E24" t="s">
        <v>292</v>
      </c>
      <c r="F24">
        <v>175</v>
      </c>
      <c r="G24">
        <v>1.381824336</v>
      </c>
      <c r="H24">
        <v>5.8791696999999997E-2</v>
      </c>
      <c r="I24">
        <v>1.361960093</v>
      </c>
      <c r="J24">
        <v>3.4541699999999999E-3</v>
      </c>
      <c r="K24">
        <v>0</v>
      </c>
      <c r="L24" t="s">
        <v>290</v>
      </c>
      <c r="M24">
        <v>1.3148998009999999</v>
      </c>
      <c r="N24">
        <v>4.8432014000000002E-2</v>
      </c>
      <c r="O24">
        <v>4.8432014000000002E-2</v>
      </c>
      <c r="P24" t="s">
        <v>291</v>
      </c>
      <c r="Q24" t="s">
        <v>293</v>
      </c>
    </row>
    <row r="25" spans="1:17" x14ac:dyDescent="0.2">
      <c r="A25" t="s">
        <v>75</v>
      </c>
      <c r="B25" t="s">
        <v>294</v>
      </c>
      <c r="C25">
        <v>43388</v>
      </c>
      <c r="D25">
        <v>4.5666666669999998</v>
      </c>
      <c r="E25" t="s">
        <v>159</v>
      </c>
      <c r="F25" t="s">
        <v>159</v>
      </c>
      <c r="G25">
        <v>1.2014782930000001</v>
      </c>
      <c r="H25">
        <v>5.5003795000000001E-2</v>
      </c>
      <c r="I25">
        <v>1.3447862660000001</v>
      </c>
      <c r="J25" t="s">
        <v>159</v>
      </c>
      <c r="K25">
        <v>17.5</v>
      </c>
      <c r="L25" t="s">
        <v>264</v>
      </c>
      <c r="M25">
        <v>-0.85414442999999995</v>
      </c>
      <c r="N25">
        <v>1.7109112449999999</v>
      </c>
      <c r="O25">
        <v>1</v>
      </c>
      <c r="P25">
        <v>1</v>
      </c>
      <c r="Q25" t="s">
        <v>295</v>
      </c>
    </row>
    <row r="26" spans="1:17" x14ac:dyDescent="0.2">
      <c r="A26" t="s">
        <v>75</v>
      </c>
      <c r="B26" t="s">
        <v>294</v>
      </c>
      <c r="C26">
        <v>43388</v>
      </c>
      <c r="D26">
        <v>4.5666666669999998</v>
      </c>
      <c r="E26" t="s">
        <v>159</v>
      </c>
      <c r="F26" t="s">
        <v>159</v>
      </c>
      <c r="G26">
        <v>1.2014782930000001</v>
      </c>
      <c r="H26">
        <v>5.5003795000000001E-2</v>
      </c>
      <c r="I26">
        <v>1.3447862660000001</v>
      </c>
      <c r="J26" t="s">
        <v>159</v>
      </c>
      <c r="K26">
        <v>16.202666669999999</v>
      </c>
      <c r="L26" t="s">
        <v>265</v>
      </c>
      <c r="M26">
        <v>-0.34333169899999999</v>
      </c>
      <c r="N26">
        <v>1.285757721</v>
      </c>
      <c r="O26">
        <v>1</v>
      </c>
      <c r="P26">
        <v>2</v>
      </c>
      <c r="Q26" t="s">
        <v>295</v>
      </c>
    </row>
    <row r="27" spans="1:17" x14ac:dyDescent="0.2">
      <c r="A27" t="s">
        <v>75</v>
      </c>
      <c r="B27" t="s">
        <v>294</v>
      </c>
      <c r="C27">
        <v>43388</v>
      </c>
      <c r="D27">
        <v>4.5666666669999998</v>
      </c>
      <c r="E27" t="s">
        <v>159</v>
      </c>
      <c r="F27" t="s">
        <v>159</v>
      </c>
      <c r="G27">
        <v>1.2014782930000001</v>
      </c>
      <c r="H27">
        <v>5.5003795000000001E-2</v>
      </c>
      <c r="I27">
        <v>1.3447862660000001</v>
      </c>
      <c r="J27" t="s">
        <v>159</v>
      </c>
      <c r="K27">
        <v>15.001508980000001</v>
      </c>
      <c r="L27" t="s">
        <v>266</v>
      </c>
      <c r="M27">
        <v>-0.47259506200000001</v>
      </c>
      <c r="N27">
        <v>1.393344653</v>
      </c>
      <c r="O27">
        <v>1</v>
      </c>
      <c r="P27">
        <v>3</v>
      </c>
      <c r="Q27" t="s">
        <v>295</v>
      </c>
    </row>
    <row r="28" spans="1:17" x14ac:dyDescent="0.2">
      <c r="A28" t="s">
        <v>75</v>
      </c>
      <c r="B28" t="s">
        <v>294</v>
      </c>
      <c r="C28">
        <v>43388</v>
      </c>
      <c r="D28">
        <v>4.5666666669999998</v>
      </c>
      <c r="E28" t="s">
        <v>159</v>
      </c>
      <c r="F28" t="s">
        <v>159</v>
      </c>
      <c r="G28">
        <v>1.2014782930000001</v>
      </c>
      <c r="H28">
        <v>5.5003795000000001E-2</v>
      </c>
      <c r="I28">
        <v>1.3447862660000001</v>
      </c>
      <c r="J28" t="s">
        <v>159</v>
      </c>
      <c r="K28">
        <v>13.889397110000001</v>
      </c>
      <c r="L28" t="s">
        <v>267</v>
      </c>
      <c r="M28">
        <v>-0.302509111</v>
      </c>
      <c r="N28">
        <v>1.2517807540000001</v>
      </c>
      <c r="O28">
        <v>1</v>
      </c>
      <c r="P28">
        <v>4</v>
      </c>
      <c r="Q28" t="s">
        <v>295</v>
      </c>
    </row>
    <row r="29" spans="1:17" x14ac:dyDescent="0.2">
      <c r="A29" t="s">
        <v>75</v>
      </c>
      <c r="B29" t="s">
        <v>294</v>
      </c>
      <c r="C29">
        <v>43388</v>
      </c>
      <c r="D29">
        <v>4.5666666669999998</v>
      </c>
      <c r="E29" t="s">
        <v>159</v>
      </c>
      <c r="F29" t="s">
        <v>159</v>
      </c>
      <c r="G29">
        <v>1.2014782930000001</v>
      </c>
      <c r="H29">
        <v>5.5003795000000001E-2</v>
      </c>
      <c r="I29">
        <v>1.3447862660000001</v>
      </c>
      <c r="J29" t="s">
        <v>159</v>
      </c>
      <c r="K29">
        <v>12.859729809999999</v>
      </c>
      <c r="L29" t="s">
        <v>268</v>
      </c>
      <c r="M29">
        <v>9.2691425999999993E-2</v>
      </c>
      <c r="N29">
        <v>0.92285218400000002</v>
      </c>
      <c r="O29">
        <v>0.92285218400000002</v>
      </c>
      <c r="P29">
        <v>5</v>
      </c>
      <c r="Q29" t="s">
        <v>295</v>
      </c>
    </row>
    <row r="30" spans="1:17" x14ac:dyDescent="0.2">
      <c r="A30" t="s">
        <v>75</v>
      </c>
      <c r="B30" t="s">
        <v>294</v>
      </c>
      <c r="C30">
        <v>43388</v>
      </c>
      <c r="D30">
        <v>4.5666666669999998</v>
      </c>
      <c r="E30" t="s">
        <v>159</v>
      </c>
      <c r="F30" t="s">
        <v>159</v>
      </c>
      <c r="G30">
        <v>1.2014782930000001</v>
      </c>
      <c r="H30">
        <v>5.5003795000000001E-2</v>
      </c>
      <c r="I30">
        <v>1.3447862660000001</v>
      </c>
      <c r="J30" t="s">
        <v>159</v>
      </c>
      <c r="K30">
        <v>11.90639517</v>
      </c>
      <c r="L30" t="s">
        <v>269</v>
      </c>
      <c r="M30">
        <v>0.65510182900000002</v>
      </c>
      <c r="N30">
        <v>0.45475350399999998</v>
      </c>
      <c r="O30">
        <v>0.45475350399999998</v>
      </c>
      <c r="P30">
        <v>6</v>
      </c>
      <c r="Q30" t="s">
        <v>295</v>
      </c>
    </row>
    <row r="31" spans="1:17" x14ac:dyDescent="0.2">
      <c r="A31" t="s">
        <v>75</v>
      </c>
      <c r="B31" t="s">
        <v>294</v>
      </c>
      <c r="C31">
        <v>43388</v>
      </c>
      <c r="D31">
        <v>4.5666666669999998</v>
      </c>
      <c r="E31" t="s">
        <v>159</v>
      </c>
      <c r="F31" t="s">
        <v>159</v>
      </c>
      <c r="G31">
        <v>1.2014782930000001</v>
      </c>
      <c r="H31">
        <v>5.5003795000000001E-2</v>
      </c>
      <c r="I31">
        <v>1.3447862660000001</v>
      </c>
      <c r="J31" t="s">
        <v>159</v>
      </c>
      <c r="K31">
        <v>11.023734409999999</v>
      </c>
      <c r="L31" t="s">
        <v>270</v>
      </c>
      <c r="M31">
        <v>0.86861686999999999</v>
      </c>
      <c r="N31">
        <v>0.277043227</v>
      </c>
      <c r="O31">
        <v>0.277043227</v>
      </c>
      <c r="P31">
        <v>7</v>
      </c>
      <c r="Q31" t="s">
        <v>295</v>
      </c>
    </row>
    <row r="32" spans="1:17" x14ac:dyDescent="0.2">
      <c r="A32" t="s">
        <v>75</v>
      </c>
      <c r="B32" t="s">
        <v>294</v>
      </c>
      <c r="C32">
        <v>43388</v>
      </c>
      <c r="D32">
        <v>4.5666666669999998</v>
      </c>
      <c r="E32" t="s">
        <v>159</v>
      </c>
      <c r="F32" t="s">
        <v>159</v>
      </c>
      <c r="G32">
        <v>1.2014782930000001</v>
      </c>
      <c r="H32">
        <v>5.5003795000000001E-2</v>
      </c>
      <c r="I32">
        <v>1.3447862660000001</v>
      </c>
      <c r="J32" t="s">
        <v>159</v>
      </c>
      <c r="K32">
        <v>10.206508230000001</v>
      </c>
      <c r="L32" t="s">
        <v>271</v>
      </c>
      <c r="M32">
        <v>0.95458488399999997</v>
      </c>
      <c r="N32">
        <v>0.20549136100000001</v>
      </c>
      <c r="O32">
        <v>0.20549136100000001</v>
      </c>
      <c r="P32">
        <v>8</v>
      </c>
      <c r="Q32" t="s">
        <v>295</v>
      </c>
    </row>
    <row r="33" spans="1:17" x14ac:dyDescent="0.2">
      <c r="A33" t="s">
        <v>75</v>
      </c>
      <c r="B33" t="s">
        <v>294</v>
      </c>
      <c r="C33">
        <v>43388</v>
      </c>
      <c r="D33">
        <v>4.5666666669999998</v>
      </c>
      <c r="E33" t="s">
        <v>159</v>
      </c>
      <c r="F33" t="s">
        <v>159</v>
      </c>
      <c r="G33">
        <v>1.2014782930000001</v>
      </c>
      <c r="H33">
        <v>5.5003795000000001E-2</v>
      </c>
      <c r="I33">
        <v>1.3447862660000001</v>
      </c>
      <c r="J33" t="s">
        <v>159</v>
      </c>
      <c r="K33">
        <v>9.4498657539999993</v>
      </c>
      <c r="L33" t="s">
        <v>272</v>
      </c>
      <c r="M33">
        <v>0.98178005599999996</v>
      </c>
      <c r="N33">
        <v>0.18285660100000001</v>
      </c>
      <c r="O33">
        <v>0.18285660100000001</v>
      </c>
      <c r="P33">
        <v>9</v>
      </c>
      <c r="Q33" t="s">
        <v>295</v>
      </c>
    </row>
    <row r="34" spans="1:17" x14ac:dyDescent="0.2">
      <c r="A34" t="s">
        <v>75</v>
      </c>
      <c r="B34" t="s">
        <v>294</v>
      </c>
      <c r="C34">
        <v>43388</v>
      </c>
      <c r="D34">
        <v>4.5666666669999998</v>
      </c>
      <c r="E34" t="s">
        <v>159</v>
      </c>
      <c r="F34" t="s">
        <v>159</v>
      </c>
      <c r="G34">
        <v>1.2014782930000001</v>
      </c>
      <c r="H34">
        <v>5.5003795000000001E-2</v>
      </c>
      <c r="I34">
        <v>1.3447862660000001</v>
      </c>
      <c r="J34" t="s">
        <v>159</v>
      </c>
      <c r="K34">
        <v>8.7493157060000009</v>
      </c>
      <c r="L34" t="s">
        <v>273</v>
      </c>
      <c r="M34">
        <v>1.2356767879999999</v>
      </c>
      <c r="N34">
        <v>-2.8463681000000001E-2</v>
      </c>
      <c r="O34">
        <v>-2.8463681000000001E-2</v>
      </c>
      <c r="P34">
        <v>10</v>
      </c>
      <c r="Q34" t="s">
        <v>295</v>
      </c>
    </row>
    <row r="35" spans="1:17" x14ac:dyDescent="0.2">
      <c r="A35" t="s">
        <v>75</v>
      </c>
      <c r="B35" t="s">
        <v>294</v>
      </c>
      <c r="C35">
        <v>43388</v>
      </c>
      <c r="D35">
        <v>4.5666666669999998</v>
      </c>
      <c r="E35" t="s">
        <v>159</v>
      </c>
      <c r="F35" t="s">
        <v>159</v>
      </c>
      <c r="G35">
        <v>1.2014782930000001</v>
      </c>
      <c r="H35">
        <v>5.5003795000000001E-2</v>
      </c>
      <c r="I35">
        <v>1.3447862660000001</v>
      </c>
      <c r="J35" t="s">
        <v>159</v>
      </c>
      <c r="K35">
        <v>8.1006997680000001</v>
      </c>
      <c r="L35" t="s">
        <v>274</v>
      </c>
      <c r="M35">
        <v>1.2464439620000001</v>
      </c>
      <c r="N35">
        <v>-3.7425286000000002E-2</v>
      </c>
      <c r="O35">
        <v>-3.7425286000000002E-2</v>
      </c>
      <c r="P35">
        <v>11</v>
      </c>
      <c r="Q35" t="s">
        <v>295</v>
      </c>
    </row>
    <row r="36" spans="1:17" x14ac:dyDescent="0.2">
      <c r="A36" t="s">
        <v>75</v>
      </c>
      <c r="B36" t="s">
        <v>294</v>
      </c>
      <c r="C36">
        <v>43388</v>
      </c>
      <c r="D36">
        <v>4.5666666669999998</v>
      </c>
      <c r="E36" t="s">
        <v>159</v>
      </c>
      <c r="F36" t="s">
        <v>159</v>
      </c>
      <c r="G36">
        <v>1.2014782930000001</v>
      </c>
      <c r="H36">
        <v>5.5003795000000001E-2</v>
      </c>
      <c r="I36">
        <v>1.3447862660000001</v>
      </c>
      <c r="J36" t="s">
        <v>159</v>
      </c>
      <c r="K36">
        <v>7.5001678920000003</v>
      </c>
      <c r="L36" t="s">
        <v>275</v>
      </c>
      <c r="M36">
        <v>1.104488243</v>
      </c>
      <c r="N36">
        <v>8.0725594999999997E-2</v>
      </c>
      <c r="O36">
        <v>8.0725594999999997E-2</v>
      </c>
      <c r="P36">
        <v>12</v>
      </c>
      <c r="Q36" t="s">
        <v>295</v>
      </c>
    </row>
    <row r="37" spans="1:17" x14ac:dyDescent="0.2">
      <c r="A37" t="s">
        <v>75</v>
      </c>
      <c r="B37" t="s">
        <v>294</v>
      </c>
      <c r="C37">
        <v>43388</v>
      </c>
      <c r="D37">
        <v>4.5666666669999998</v>
      </c>
      <c r="E37" t="s">
        <v>159</v>
      </c>
      <c r="F37" t="s">
        <v>159</v>
      </c>
      <c r="G37">
        <v>1.2014782930000001</v>
      </c>
      <c r="H37">
        <v>5.5003795000000001E-2</v>
      </c>
      <c r="I37">
        <v>1.3447862660000001</v>
      </c>
      <c r="J37" t="s">
        <v>159</v>
      </c>
      <c r="K37">
        <v>15.001508980000001</v>
      </c>
      <c r="L37" t="s">
        <v>276</v>
      </c>
      <c r="M37">
        <v>-0.491702733</v>
      </c>
      <c r="N37">
        <v>1.40924812</v>
      </c>
      <c r="O37">
        <v>1</v>
      </c>
      <c r="P37">
        <v>3</v>
      </c>
      <c r="Q37" t="s">
        <v>295</v>
      </c>
    </row>
    <row r="38" spans="1:17" x14ac:dyDescent="0.2">
      <c r="A38" t="s">
        <v>75</v>
      </c>
      <c r="B38" t="s">
        <v>294</v>
      </c>
      <c r="C38">
        <v>43388</v>
      </c>
      <c r="D38">
        <v>4.5666666669999998</v>
      </c>
      <c r="E38" t="s">
        <v>159</v>
      </c>
      <c r="F38" t="s">
        <v>159</v>
      </c>
      <c r="G38">
        <v>1.2014782930000001</v>
      </c>
      <c r="H38">
        <v>5.5003795000000001E-2</v>
      </c>
      <c r="I38">
        <v>1.3447862660000001</v>
      </c>
      <c r="J38" t="s">
        <v>159</v>
      </c>
      <c r="K38">
        <v>12.859729809999999</v>
      </c>
      <c r="L38" t="s">
        <v>277</v>
      </c>
      <c r="M38">
        <v>-0.34490016299999998</v>
      </c>
      <c r="N38">
        <v>1.287063166</v>
      </c>
      <c r="O38">
        <v>1</v>
      </c>
      <c r="P38">
        <v>5</v>
      </c>
      <c r="Q38" t="s">
        <v>295</v>
      </c>
    </row>
    <row r="39" spans="1:17" x14ac:dyDescent="0.2">
      <c r="A39" t="s">
        <v>75</v>
      </c>
      <c r="B39" t="s">
        <v>294</v>
      </c>
      <c r="C39">
        <v>43388</v>
      </c>
      <c r="D39">
        <v>4.5666666669999998</v>
      </c>
      <c r="E39" t="s">
        <v>159</v>
      </c>
      <c r="F39" t="s">
        <v>159</v>
      </c>
      <c r="G39">
        <v>1.2014782930000001</v>
      </c>
      <c r="H39">
        <v>5.5003795000000001E-2</v>
      </c>
      <c r="I39">
        <v>1.3447862660000001</v>
      </c>
      <c r="J39" t="s">
        <v>159</v>
      </c>
      <c r="K39">
        <v>11.023734409999999</v>
      </c>
      <c r="L39" t="s">
        <v>278</v>
      </c>
      <c r="M39">
        <v>0.87704742999999996</v>
      </c>
      <c r="N39">
        <v>0.270026404</v>
      </c>
      <c r="O39">
        <v>0.270026404</v>
      </c>
      <c r="P39">
        <v>7</v>
      </c>
      <c r="Q39" t="s">
        <v>295</v>
      </c>
    </row>
    <row r="40" spans="1:17" x14ac:dyDescent="0.2">
      <c r="A40" t="s">
        <v>75</v>
      </c>
      <c r="B40" t="s">
        <v>294</v>
      </c>
      <c r="C40">
        <v>43388</v>
      </c>
      <c r="D40">
        <v>4.5666666669999998</v>
      </c>
      <c r="E40" t="s">
        <v>159</v>
      </c>
      <c r="F40" t="s">
        <v>159</v>
      </c>
      <c r="G40">
        <v>1.2014782930000001</v>
      </c>
      <c r="H40">
        <v>5.5003795000000001E-2</v>
      </c>
      <c r="I40">
        <v>1.3447862660000001</v>
      </c>
      <c r="J40" t="s">
        <v>159</v>
      </c>
      <c r="K40">
        <v>15.001508980000001</v>
      </c>
      <c r="L40" t="s">
        <v>279</v>
      </c>
      <c r="M40">
        <v>-0.212886505</v>
      </c>
      <c r="N40">
        <v>1.177187142</v>
      </c>
      <c r="O40">
        <v>1</v>
      </c>
      <c r="P40">
        <v>3</v>
      </c>
      <c r="Q40" t="s">
        <v>295</v>
      </c>
    </row>
    <row r="41" spans="1:17" x14ac:dyDescent="0.2">
      <c r="A41" t="s">
        <v>75</v>
      </c>
      <c r="B41" t="s">
        <v>294</v>
      </c>
      <c r="C41">
        <v>43388</v>
      </c>
      <c r="D41">
        <v>4.5666666669999998</v>
      </c>
      <c r="E41" t="s">
        <v>159</v>
      </c>
      <c r="F41" t="s">
        <v>159</v>
      </c>
      <c r="G41">
        <v>1.2014782930000001</v>
      </c>
      <c r="H41">
        <v>5.5003795000000001E-2</v>
      </c>
      <c r="I41">
        <v>1.3447862660000001</v>
      </c>
      <c r="J41" t="s">
        <v>159</v>
      </c>
      <c r="K41">
        <v>12.859729809999999</v>
      </c>
      <c r="L41" t="s">
        <v>280</v>
      </c>
      <c r="M41">
        <v>-0.123155289</v>
      </c>
      <c r="N41">
        <v>1.1025031329999999</v>
      </c>
      <c r="O41">
        <v>1</v>
      </c>
      <c r="P41">
        <v>5</v>
      </c>
      <c r="Q41" t="s">
        <v>295</v>
      </c>
    </row>
    <row r="42" spans="1:17" x14ac:dyDescent="0.2">
      <c r="A42" t="s">
        <v>75</v>
      </c>
      <c r="B42" t="s">
        <v>294</v>
      </c>
      <c r="C42">
        <v>43388</v>
      </c>
      <c r="D42">
        <v>4.5666666669999998</v>
      </c>
      <c r="E42" t="s">
        <v>159</v>
      </c>
      <c r="F42" t="s">
        <v>159</v>
      </c>
      <c r="G42">
        <v>1.2014782930000001</v>
      </c>
      <c r="H42">
        <v>5.5003795000000001E-2</v>
      </c>
      <c r="I42">
        <v>1.3447862660000001</v>
      </c>
      <c r="J42" t="s">
        <v>159</v>
      </c>
      <c r="K42">
        <v>11.023734409999999</v>
      </c>
      <c r="L42" t="s">
        <v>281</v>
      </c>
      <c r="M42">
        <v>0.126328104</v>
      </c>
      <c r="N42">
        <v>0.89485610800000004</v>
      </c>
      <c r="O42">
        <v>0.89485610800000004</v>
      </c>
      <c r="P42">
        <v>7</v>
      </c>
      <c r="Q42" t="s">
        <v>295</v>
      </c>
    </row>
    <row r="43" spans="1:17" x14ac:dyDescent="0.2">
      <c r="A43" t="s">
        <v>75</v>
      </c>
      <c r="B43" t="s">
        <v>294</v>
      </c>
      <c r="C43">
        <v>43388</v>
      </c>
      <c r="D43">
        <v>4.5666666669999998</v>
      </c>
      <c r="E43" t="s">
        <v>159</v>
      </c>
      <c r="F43" t="s">
        <v>159</v>
      </c>
      <c r="G43">
        <v>1.2014782930000001</v>
      </c>
      <c r="H43">
        <v>5.5003795000000001E-2</v>
      </c>
      <c r="I43">
        <v>1.3447862660000001</v>
      </c>
      <c r="J43" t="s">
        <v>159</v>
      </c>
      <c r="K43">
        <v>0</v>
      </c>
      <c r="L43" t="s">
        <v>282</v>
      </c>
      <c r="M43">
        <v>1.190632055</v>
      </c>
      <c r="N43">
        <v>9.0274099999999996E-3</v>
      </c>
      <c r="O43">
        <v>9.0274099999999996E-3</v>
      </c>
      <c r="P43" t="s">
        <v>283</v>
      </c>
      <c r="Q43" t="s">
        <v>295</v>
      </c>
    </row>
    <row r="44" spans="1:17" x14ac:dyDescent="0.2">
      <c r="A44" t="s">
        <v>75</v>
      </c>
      <c r="B44" t="s">
        <v>294</v>
      </c>
      <c r="C44">
        <v>43388</v>
      </c>
      <c r="D44">
        <v>4.5666666669999998</v>
      </c>
      <c r="E44" t="s">
        <v>159</v>
      </c>
      <c r="F44" t="s">
        <v>159</v>
      </c>
      <c r="G44">
        <v>1.2014782930000001</v>
      </c>
      <c r="H44">
        <v>5.5003795000000001E-2</v>
      </c>
      <c r="I44">
        <v>1.3447862660000001</v>
      </c>
      <c r="J44" t="s">
        <v>159</v>
      </c>
      <c r="K44">
        <v>0</v>
      </c>
      <c r="L44" t="s">
        <v>284</v>
      </c>
      <c r="M44">
        <v>1.1914692259999999</v>
      </c>
      <c r="N44">
        <v>8.3306260000000007E-3</v>
      </c>
      <c r="O44">
        <v>8.3306260000000007E-3</v>
      </c>
      <c r="P44" t="s">
        <v>285</v>
      </c>
      <c r="Q44" t="s">
        <v>295</v>
      </c>
    </row>
    <row r="45" spans="1:17" x14ac:dyDescent="0.2">
      <c r="A45" t="s">
        <v>75</v>
      </c>
      <c r="B45" t="s">
        <v>294</v>
      </c>
      <c r="C45">
        <v>43388</v>
      </c>
      <c r="D45">
        <v>4.5666666669999998</v>
      </c>
      <c r="E45" t="s">
        <v>159</v>
      </c>
      <c r="F45" t="s">
        <v>159</v>
      </c>
      <c r="G45">
        <v>1.2014782930000001</v>
      </c>
      <c r="H45">
        <v>5.5003795000000001E-2</v>
      </c>
      <c r="I45">
        <v>1.3447862660000001</v>
      </c>
      <c r="J45" t="s">
        <v>159</v>
      </c>
      <c r="K45">
        <v>0</v>
      </c>
      <c r="L45" t="s">
        <v>286</v>
      </c>
      <c r="M45">
        <v>1.273703995</v>
      </c>
      <c r="N45">
        <v>-6.0114029999999999E-2</v>
      </c>
      <c r="O45">
        <v>-6.0114029999999999E-2</v>
      </c>
      <c r="P45" t="s">
        <v>287</v>
      </c>
      <c r="Q45" t="s">
        <v>295</v>
      </c>
    </row>
    <row r="46" spans="1:17" x14ac:dyDescent="0.2">
      <c r="A46" t="s">
        <v>75</v>
      </c>
      <c r="B46" t="s">
        <v>294</v>
      </c>
      <c r="C46">
        <v>43388</v>
      </c>
      <c r="D46">
        <v>4.5666666669999998</v>
      </c>
      <c r="E46" t="s">
        <v>159</v>
      </c>
      <c r="F46" t="s">
        <v>159</v>
      </c>
      <c r="G46">
        <v>1.2014782930000001</v>
      </c>
      <c r="H46">
        <v>5.5003795000000001E-2</v>
      </c>
      <c r="I46">
        <v>1.3447862660000001</v>
      </c>
      <c r="J46" t="s">
        <v>159</v>
      </c>
      <c r="K46">
        <v>0</v>
      </c>
      <c r="L46" t="s">
        <v>288</v>
      </c>
      <c r="M46">
        <v>1.3186608049999999</v>
      </c>
      <c r="N46">
        <v>-9.7531942999999996E-2</v>
      </c>
      <c r="O46">
        <v>-9.7531942999999996E-2</v>
      </c>
      <c r="P46" t="s">
        <v>289</v>
      </c>
      <c r="Q46" t="s">
        <v>295</v>
      </c>
    </row>
    <row r="47" spans="1:17" x14ac:dyDescent="0.2">
      <c r="A47" t="s">
        <v>75</v>
      </c>
      <c r="B47" t="s">
        <v>294</v>
      </c>
      <c r="C47">
        <v>43388</v>
      </c>
      <c r="D47">
        <v>4.5666666669999998</v>
      </c>
      <c r="E47" t="s">
        <v>159</v>
      </c>
      <c r="F47" t="s">
        <v>159</v>
      </c>
      <c r="G47">
        <v>1.2014782930000001</v>
      </c>
      <c r="H47">
        <v>5.5003795000000001E-2</v>
      </c>
      <c r="I47">
        <v>1.3447862660000001</v>
      </c>
      <c r="J47" t="s">
        <v>159</v>
      </c>
      <c r="K47">
        <v>0</v>
      </c>
      <c r="L47" t="s">
        <v>290</v>
      </c>
      <c r="M47">
        <v>1.2505153710000001</v>
      </c>
      <c r="N47">
        <v>-4.0813952000000001E-2</v>
      </c>
      <c r="O47">
        <v>-4.0813952000000001E-2</v>
      </c>
      <c r="P47" t="s">
        <v>291</v>
      </c>
      <c r="Q47" t="s">
        <v>295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Kalkylblad</vt:lpstr>
      </vt:variant>
      <vt:variant>
        <vt:i4>15</vt:i4>
      </vt:variant>
    </vt:vector>
  </HeadingPairs>
  <TitlesOfParts>
    <vt:vector size="15" baseType="lpstr">
      <vt:lpstr>PIPT_1value</vt:lpstr>
      <vt:lpstr>PIPT_whole</vt:lpstr>
      <vt:lpstr>EC50PIPT</vt:lpstr>
      <vt:lpstr>PAM short</vt:lpstr>
      <vt:lpstr>GenerationsInCulture</vt:lpstr>
      <vt:lpstr>Growth curves</vt:lpstr>
      <vt:lpstr>Growth PIPT</vt:lpstr>
      <vt:lpstr>PAM</vt:lpstr>
      <vt:lpstr>3 day cycel observations</vt:lpstr>
      <vt:lpstr>Strain Isolation</vt:lpstr>
      <vt:lpstr>DetailedRFU</vt:lpstr>
      <vt:lpstr>StartDensity</vt:lpstr>
      <vt:lpstr>Changes IN morphology</vt:lpstr>
      <vt:lpstr>Cu_treatment</vt:lpstr>
      <vt:lpstr>DRC_PIPT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2022-05-11T06:04:33Z</dcterms:created>
  <dcterms:modified xsi:type="dcterms:W3CDTF">2022-06-14T12:08:22Z</dcterms:modified>
</cp:coreProperties>
</file>